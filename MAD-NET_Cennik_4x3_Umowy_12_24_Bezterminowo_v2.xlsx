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3732314a9443b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" sheetId="1" r:id="R119b46a6bf294ca5"/>
    <x:sheet xmlns:r="http://schemas.openxmlformats.org/officeDocument/2006/relationships" name="STAN_2026" sheetId="2" r:id="Rdb62bc7fa86c490e"/>
    <x:sheet xmlns:r="http://schemas.openxmlformats.org/officeDocument/2006/relationships" name="SCENARIUSZE" sheetId="3" r:id="R8f52b949d02d4d19"/>
    <x:sheet xmlns:r="http://schemas.openxmlformats.org/officeDocument/2006/relationships" name="DO_ZATWIERDZENIA" sheetId="4" r:id="R89b3c869da764f6c"/>
    <x:sheet xmlns:r="http://schemas.openxmlformats.org/officeDocument/2006/relationships" name="CENNIK_UMOWY" sheetId="5" r:id="R25f51bd65bfa450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&quot; zł&quot;"/>
    <x:numFmt numFmtId="201" formatCode="0%"/>
    <x:numFmt numFmtId="202" formatCode="+#,##0&quot; zł&quot;;-#,##0&quot; zł&quot;;0&quot; zł&quot;"/>
    <x:numFmt numFmtId="203" formatCode="#,##0 &quot;zł&quot;;[Red](#,##0) &quot;zł&quot;;-"/>
  </x:numFmts>
  <x:fonts count="22">
    <x:font>
      <x:sz val="11"/>
      <x:name val="Carlito"/>
    </x:font>
    <x:font>
      <x:b/>
      <x:sz val="17"/>
      <x:color rgb="FFFFFFFF"/>
      <x:name val="Carlito"/>
    </x:font>
    <x:font>
      <x:b/>
      <x:sz val="11"/>
      <x:color rgb="FF8B5311"/>
      <x:name val="Carlito"/>
    </x:font>
    <x:font>
      <x:b/>
      <x:sz val="13"/>
      <x:color rgb="FF14202E"/>
      <x:name val="Carlito"/>
    </x:font>
    <x:font>
      <x:b/>
      <x:sz val="10"/>
      <x:color rgb="FFFFFFFF"/>
      <x:name val="Carlito"/>
    </x:font>
    <x:font>
      <x:b/>
      <x:sz val="11"/>
      <x:color rgb="FFFFFFFF"/>
      <x:name val="Carlito"/>
    </x:font>
    <x:font>
      <x:sz val="9"/>
      <x:color rgb="FF475569"/>
      <x:name val="Carlito"/>
    </x:font>
    <x:font>
      <x:sz val="11"/>
      <x:color rgb="FF925D06"/>
      <x:name val="Carlito"/>
    </x:font>
    <x:font>
      <x:sz val="11"/>
      <x:name val="Aptos"/>
    </x:font>
    <x:font>
      <x:sz val="10"/>
      <x:name val="Aptos"/>
    </x:font>
    <x:font>
      <x:sz val="10"/>
      <x:color rgb="FFD8DFE7"/>
      <x:name val="Aptos"/>
    </x:font>
    <x:font>
      <x:b/>
      <x:sz val="16"/>
      <x:color rgb="FFF5F7FC"/>
      <x:name val="Aptos Display"/>
    </x:font>
    <x:font>
      <x:sz val="10"/>
      <x:color rgb="FFF9B15F"/>
      <x:name val="Aptos"/>
    </x:font>
    <x:font>
      <x:b/>
      <x:sz val="12"/>
      <x:color rgb="FFFFFFFF"/>
      <x:name val="Aptos"/>
    </x:font>
    <x:font>
      <x:b/>
      <x:sz val="10"/>
      <x:color rgb="FFFFFFFF"/>
      <x:name val="Aptos"/>
    </x:font>
    <x:font>
      <x:sz val="10"/>
      <x:color rgb="FF81BDFF"/>
      <x:name val="Aptos"/>
    </x:font>
    <x:font>
      <x:sz val="10"/>
      <x:color rgb="FFFFFFFF"/>
      <x:name val="Aptos"/>
    </x:font>
    <x:font>
      <x:sz val="10"/>
      <x:color rgb="FFE7BB83"/>
      <x:name val="Aptos"/>
    </x:font>
    <x:font>
      <x:sz val="10"/>
      <x:color rgb="FFAFBDC9"/>
      <x:name val="Aptos"/>
    </x:font>
    <x:font>
      <x:b/>
      <x:sz val="11"/>
      <x:color rgb="FFFFFFFF"/>
      <x:name val="Aptos"/>
    </x:font>
    <x:font>
      <x:sz val="10"/>
      <x:color rgb="FFC7D2E0"/>
      <x:name val="Aptos"/>
    </x:font>
    <x:font>
      <x:sz val="11"/>
      <x:color rgb="FFAD7809"/>
      <x:name val="Carlito"/>
    </x:font>
  </x:fonts>
  <x:fills count="21">
    <x:fill>
      <x:patternFill patternType="none"/>
    </x:fill>
    <x:fill>
      <x:patternFill patternType="gray125"/>
    </x:fill>
    <x:fill>
      <x:patternFill patternType="solid">
        <x:fgColor rgb="FF14202E"/>
      </x:patternFill>
    </x:fill>
    <x:fill>
      <x:patternFill patternType="solid">
        <x:fgColor rgb="FFFFF2CC"/>
      </x:patternFill>
    </x:fill>
    <x:fill>
      <x:patternFill patternType="solid">
        <x:fgColor rgb="FFDFEDFA"/>
      </x:patternFill>
    </x:fill>
    <x:fill>
      <x:patternFill patternType="solid">
        <x:fgColor rgb="FFFBE4E7"/>
      </x:patternFill>
    </x:fill>
    <x:fill>
      <x:patternFill patternType="solid">
        <x:fgColor rgb="FFFFF1DF"/>
      </x:patternFill>
    </x:fill>
    <x:fill>
      <x:patternFill patternType="solid">
        <x:fgColor rgb="FF1F2937"/>
      </x:patternFill>
    </x:fill>
    <x:fill>
      <x:patternFill patternType="solid">
        <x:fgColor rgb="FF10171F"/>
      </x:patternFill>
    </x:fill>
    <x:fill>
      <x:patternFill patternType="solid">
        <x:fgColor rgb="FF111B28"/>
      </x:patternFill>
    </x:fill>
    <x:fill>
      <x:patternFill patternType="solid">
        <x:fgColor rgb="FF24303B"/>
      </x:patternFill>
    </x:fill>
    <x:fill>
      <x:patternFill patternType="solid">
        <x:fgColor rgb="FF8B223B"/>
      </x:patternFill>
    </x:fill>
    <x:fill>
      <x:patternFill patternType="solid">
        <x:fgColor rgb="FF4F3C73"/>
      </x:patternFill>
    </x:fill>
    <x:fill>
      <x:patternFill patternType="solid">
        <x:fgColor rgb="FF293647"/>
      </x:patternFill>
    </x:fill>
    <x:fill>
      <x:patternFill patternType="solid">
        <x:fgColor rgb="FFBD2944"/>
      </x:patternFill>
    </x:fill>
    <x:fill>
      <x:patternFill patternType="solid">
        <x:fgColor rgb="FF111922"/>
      </x:patternFill>
    </x:fill>
    <x:fill>
      <x:patternFill patternType="solid">
        <x:fgColor rgb="FF18212B"/>
      </x:patternFill>
    </x:fill>
    <x:fill>
      <x:patternFill patternType="solid">
        <x:fgColor rgb="FF3687C8"/>
      </x:patternFill>
    </x:fill>
    <x:fill>
      <x:patternFill patternType="solid">
        <x:fgColor rgb="FFE17F30"/>
      </x:patternFill>
    </x:fill>
    <x:fill>
      <x:patternFill patternType="solid">
        <x:fgColor rgb="FF60421A"/>
      </x:patternFill>
    </x:fill>
    <x:fill>
      <x:patternFill patternType="solid">
        <x:fgColor rgb="FF1A232B"/>
      </x:patternFill>
    </x:fill>
  </x:fills>
  <x:borders count="2">
    <x:border/>
    <x:border/>
  </x:borders>
  <x:cellStyleXfs count="1">
    <x:xf numFmtId="0" fontId="0" fillId="0" borderId="0"/>
  </x:cellStyleXfs>
  <x:cellXfs count="8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0" fontId="6" fillId="0" borderId="0" xfId="0" applyNumberFormat="1" applyFont="1" applyFill="1" applyBorder="1"/>
    <x:xf numFmtId="0" fontId="6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0" fillId="6" borderId="0" xfId="0" applyNumberFormat="1" applyFont="1" applyFill="1" applyBorder="1"/>
    <x:xf numFmtId="0" fontId="0" fillId="6" borderId="1" xfId="0" applyNumberFormat="1" applyFont="1" applyFill="1" applyBorder="1"/>
    <x:xf numFmtId="0" fontId="7" fillId="3" borderId="0" xfId="0" applyNumberFormat="1" applyFont="1" applyFill="1" applyBorder="1"/>
    <x:xf numFmtId="0" fontId="7" fillId="3" borderId="1" xfId="0" applyNumberFormat="1" applyFont="1" applyFill="1" applyBorder="1"/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0" fillId="7" borderId="1" xfId="0" applyNumberFormat="1" applyFont="1" applyFill="1" applyBorder="1"/>
    <x:xf numFmtId="0" fontId="5" fillId="7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0" fillId="0" borderId="0" xfId="0" applyNumberFormat="1" applyFont="1" applyFill="1" applyBorder="1"/>
    <x:xf numFmtId="0" fontId="8" fillId="0" borderId="0" xfId="0" applyNumberFormat="1" applyFont="1" applyFill="1" applyBorder="1"/>
    <x:xf numFmtId="0" fontId="9" fillId="0" borderId="0" xfId="0" applyNumberFormat="1" applyFont="1" applyFill="1" applyBorder="1"/>
    <x:xf numFmtId="0" fontId="9" fillId="0" borderId="0" xfId="0" applyNumberFormat="1" applyFont="1" applyFill="1" applyBorder="1" applyAlignment="1">
      <x:alignment vertical="center"/>
    </x:xf>
    <x:xf numFmtId="0" fontId="10" fillId="0" borderId="0" xfId="0" applyNumberFormat="1" applyFont="1" applyFill="1" applyBorder="1" applyAlignment="1">
      <x:alignment vertical="center"/>
    </x:xf>
    <x:xf numFmtId="0" fontId="10" fillId="8" borderId="0" xfId="0" applyNumberFormat="1" applyFont="1" applyFill="1" applyBorder="1" applyAlignment="1">
      <x:alignment vertical="center"/>
    </x:xf>
    <x:xf numFmtId="0" fontId="10" fillId="9" borderId="0" xfId="0" applyNumberFormat="1" applyFont="1" applyFill="1" applyBorder="1" applyAlignment="1">
      <x:alignment vertical="center"/>
    </x:xf>
    <x:xf numFmtId="0" fontId="11" fillId="9" borderId="0" xfId="0" applyNumberFormat="1" applyFont="1" applyFill="1" applyBorder="1" applyAlignment="1">
      <x:alignment vertical="center"/>
    </x:xf>
    <x:xf numFmtId="0" fontId="10" fillId="10" borderId="0" xfId="0" applyNumberFormat="1" applyFont="1" applyFill="1" applyBorder="1" applyAlignment="1">
      <x:alignment vertical="center"/>
    </x:xf>
    <x:xf numFmtId="0" fontId="12" fillId="10" borderId="0" xfId="0" applyNumberFormat="1" applyFont="1" applyFill="1" applyBorder="1" applyAlignment="1">
      <x:alignment vertical="center"/>
    </x:xf>
    <x:xf numFmtId="0" fontId="10" fillId="11" borderId="0" xfId="0" applyNumberFormat="1" applyFont="1" applyFill="1" applyBorder="1" applyAlignment="1">
      <x:alignment vertical="center"/>
    </x:xf>
    <x:xf numFmtId="0" fontId="13" fillId="11" borderId="0" xfId="0" applyNumberFormat="1" applyFont="1" applyFill="1" applyBorder="1" applyAlignment="1">
      <x:alignment vertical="center"/>
    </x:xf>
    <x:xf numFmtId="0" fontId="10" fillId="12" borderId="0" xfId="0" applyNumberFormat="1" applyFont="1" applyFill="1" applyBorder="1" applyAlignment="1">
      <x:alignment vertical="center"/>
    </x:xf>
    <x:xf numFmtId="0" fontId="13" fillId="12" borderId="0" xfId="0" applyNumberFormat="1" applyFont="1" applyFill="1" applyBorder="1" applyAlignment="1">
      <x:alignment vertical="center"/>
    </x:xf>
    <x:xf numFmtId="0" fontId="10" fillId="13" borderId="0" xfId="0" applyNumberFormat="1" applyFont="1" applyFill="1" applyBorder="1" applyAlignment="1">
      <x:alignment vertical="center"/>
    </x:xf>
    <x:xf numFmtId="0" fontId="14" fillId="13" borderId="0" xfId="0" applyNumberFormat="1" applyFont="1" applyFill="1" applyBorder="1" applyAlignment="1">
      <x:alignment vertical="center"/>
    </x:xf>
    <x:xf numFmtId="0" fontId="14" fillId="13" borderId="0" xfId="0" applyNumberFormat="1" applyFont="1" applyFill="1" applyBorder="1" applyAlignment="1">
      <x:alignment vertical="center" wrapText="1"/>
    </x:xf>
    <x:xf numFmtId="0" fontId="10" fillId="14" borderId="0" xfId="0" applyNumberFormat="1" applyFont="1" applyFill="1" applyBorder="1" applyAlignment="1">
      <x:alignment vertical="center"/>
    </x:xf>
    <x:xf numFmtId="0" fontId="14" fillId="14" borderId="0" xfId="0" applyNumberFormat="1" applyFont="1" applyFill="1" applyBorder="1" applyAlignment="1">
      <x:alignment vertical="center"/>
    </x:xf>
    <x:xf numFmtId="0" fontId="10" fillId="15" borderId="0" xfId="0" applyNumberFormat="1" applyFont="1" applyFill="1" applyBorder="1" applyAlignment="1">
      <x:alignment vertical="center"/>
    </x:xf>
    <x:xf numFmtId="0" fontId="15" fillId="15" borderId="0" xfId="0" applyNumberFormat="1" applyFont="1" applyFill="1" applyBorder="1" applyAlignment="1">
      <x:alignment vertical="center"/>
    </x:xf>
    <x:xf numFmtId="0" fontId="16" fillId="15" borderId="0" xfId="0" applyNumberFormat="1" applyFont="1" applyFill="1" applyBorder="1" applyAlignment="1">
      <x:alignment vertical="center"/>
    </x:xf>
    <x:xf numFmtId="0" fontId="17" fillId="15" borderId="0" xfId="0" applyNumberFormat="1" applyFont="1" applyFill="1" applyBorder="1" applyAlignment="1">
      <x:alignment vertical="center"/>
    </x:xf>
    <x:xf numFmtId="0" fontId="18" fillId="15" borderId="0" xfId="0" applyNumberFormat="1" applyFont="1" applyFill="1" applyBorder="1" applyAlignment="1">
      <x:alignment vertical="center"/>
    </x:xf>
    <x:xf numFmtId="0" fontId="10" fillId="16" borderId="0" xfId="0" applyNumberFormat="1" applyFont="1" applyFill="1" applyBorder="1" applyAlignment="1">
      <x:alignment vertical="center"/>
    </x:xf>
    <x:xf numFmtId="0" fontId="15" fillId="16" borderId="0" xfId="0" applyNumberFormat="1" applyFont="1" applyFill="1" applyBorder="1" applyAlignment="1">
      <x:alignment vertical="center"/>
    </x:xf>
    <x:xf numFmtId="0" fontId="16" fillId="16" borderId="0" xfId="0" applyNumberFormat="1" applyFont="1" applyFill="1" applyBorder="1" applyAlignment="1">
      <x:alignment vertical="center"/>
    </x:xf>
    <x:xf numFmtId="0" fontId="17" fillId="16" borderId="0" xfId="0" applyNumberFormat="1" applyFont="1" applyFill="1" applyBorder="1" applyAlignment="1">
      <x:alignment vertical="center"/>
    </x:xf>
    <x:xf numFmtId="0" fontId="18" fillId="16" borderId="0" xfId="0" applyNumberFormat="1" applyFont="1" applyFill="1" applyBorder="1" applyAlignment="1">
      <x:alignment vertical="center"/>
    </x:xf>
    <x:xf numFmtId="0" fontId="10" fillId="17" borderId="0" xfId="0" applyNumberFormat="1" applyFont="1" applyFill="1" applyBorder="1" applyAlignment="1">
      <x:alignment vertical="center"/>
    </x:xf>
    <x:xf numFmtId="0" fontId="14" fillId="17" borderId="0" xfId="0" applyNumberFormat="1" applyFont="1" applyFill="1" applyBorder="1" applyAlignment="1">
      <x:alignment vertical="center"/>
    </x:xf>
    <x:xf numFmtId="0" fontId="10" fillId="18" borderId="0" xfId="0" applyNumberFormat="1" applyFont="1" applyFill="1" applyBorder="1" applyAlignment="1">
      <x:alignment vertical="center"/>
    </x:xf>
    <x:xf numFmtId="0" fontId="14" fillId="18" borderId="0" xfId="0" applyNumberFormat="1" applyFont="1" applyFill="1" applyBorder="1" applyAlignment="1">
      <x:alignment vertical="center"/>
    </x:xf>
    <x:xf numFmtId="0" fontId="10" fillId="19" borderId="0" xfId="0" applyNumberFormat="1" applyFont="1" applyFill="1" applyBorder="1" applyAlignment="1">
      <x:alignment vertical="center"/>
    </x:xf>
    <x:xf numFmtId="0" fontId="19" fillId="19" borderId="0" xfId="0" applyNumberFormat="1" applyFont="1" applyFill="1" applyBorder="1" applyAlignment="1">
      <x:alignment vertical="center"/>
    </x:xf>
    <x:xf numFmtId="0" fontId="10" fillId="20" borderId="0" xfId="0" applyNumberFormat="1" applyFont="1" applyFill="1" applyBorder="1" applyAlignment="1">
      <x:alignment vertical="center"/>
    </x:xf>
    <x:xf numFmtId="0" fontId="20" fillId="20" borderId="0" xfId="0" applyNumberFormat="1" applyFont="1" applyFill="1" applyBorder="1" applyAlignment="1">
      <x:alignment vertical="center"/>
    </x:xf>
    <x:xf numFmtId="203" fontId="15" fillId="15" borderId="0" xfId="0" applyNumberFormat="1" applyFont="1" applyFill="1" applyBorder="1" applyAlignment="1">
      <x:alignment vertical="center"/>
    </x:xf>
    <x:xf numFmtId="203" fontId="16" fillId="15" borderId="0" xfId="0" applyNumberFormat="1" applyFont="1" applyFill="1" applyBorder="1" applyAlignment="1">
      <x:alignment vertical="center"/>
    </x:xf>
    <x:xf numFmtId="203" fontId="15" fillId="16" borderId="0" xfId="0" applyNumberFormat="1" applyFont="1" applyFill="1" applyBorder="1" applyAlignment="1">
      <x:alignment vertical="center"/>
    </x:xf>
    <x:xf numFmtId="203" fontId="16" fillId="16" borderId="0" xfId="0" applyNumberFormat="1" applyFont="1" applyFill="1" applyBorder="1" applyAlignment="1">
      <x:alignment vertical="center"/>
    </x:xf>
    <x:xf numFmtId="203" fontId="10" fillId="8" borderId="0" xfId="0" applyNumberFormat="1" applyFont="1" applyFill="1" applyBorder="1" applyAlignment="1">
      <x:alignment vertical="center"/>
    </x:xf>
    <x:xf numFmtId="203" fontId="13" fillId="12" borderId="0" xfId="0" applyNumberFormat="1" applyFont="1" applyFill="1" applyBorder="1" applyAlignment="1">
      <x:alignment vertical="center"/>
    </x:xf>
    <x:xf numFmtId="203" fontId="14" fillId="13" borderId="0" xfId="0" applyNumberFormat="1" applyFont="1" applyFill="1" applyBorder="1" applyAlignment="1">
      <x:alignment vertical="center" wrapText="1"/>
    </x:xf>
    <x:xf numFmtId="0" fontId="0" fillId="13" borderId="0" xfId="0" applyNumberFormat="1" applyFont="1" applyFill="1" applyBorder="1"/>
    <x:xf numFmtId="0" fontId="5" fillId="13" borderId="0" xfId="0" applyNumberFormat="1" applyFont="1" applyFill="1" applyBorder="1"/>
    <x:xf numFmtId="0" fontId="2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f3b9a7114244cee" /><Relationship Type="http://schemas.openxmlformats.org/officeDocument/2006/relationships/theme" Target="/xl/theme/theme1.xml" Id="R38a0ae7a6cb34f67" /><Relationship Type="http://schemas.openxmlformats.org/officeDocument/2006/relationships/sharedStrings" Target="/xl/sharedStrings.xml" Id="R1a4d7dc4c40d4a94" /><Relationship Type="http://schemas.openxmlformats.org/officeDocument/2006/relationships/worksheet" Target="/xl/worksheets/sheet1.xml" Id="R119b46a6bf294ca5" /><Relationship Type="http://schemas.openxmlformats.org/officeDocument/2006/relationships/worksheet" Target="/xl/worksheets/sheet2.xml" Id="Rdb62bc7fa86c490e" /><Relationship Type="http://schemas.openxmlformats.org/officeDocument/2006/relationships/worksheet" Target="/xl/worksheets/sheet3.xml" Id="R8f52b949d02d4d19" /><Relationship Type="http://schemas.openxmlformats.org/officeDocument/2006/relationships/worksheet" Target="/xl/worksheets/sheet4.xml" Id="R89b3c869da764f6c" /><Relationship Type="http://schemas.openxmlformats.org/officeDocument/2006/relationships/worksheet" Target="/xl/worksheets/sheet5.xml" Id="R25f51bd65bfa450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1" hidden="0" customWidth="1"/>
    <x:col min="2" max="2" width="30" hidden="0" customWidth="1"/>
    <x:col min="3" max="3" width="38" hidden="0" customWidth="1"/>
    <x:col min="4" max="4" width="32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</x:cols>
  <x:sheetData>
    <x:row r="1" ht="36" customHeight="1">
      <x:c r="A1" s="4" t="str">
        <x:v>MAD-NET  |  NOWY CENNIK 4 × 3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36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</x:row>
    <x:row r="4" ht="28" customHeight="1">
      <x:c r="A4" s="9" t="str">
        <x:v>ARKUSZ ROBOCZY • 01.11.2026 • NIE PUBLIKOWAĆ PRZED ZATWIERDZENIEM</x:v>
      </x:c>
      <x:c r="B4" s="9"/>
      <x:c r="C4" s="9"/>
      <x:c r="D4" s="9"/>
      <x:c r="E4" s="9"/>
      <x:c r="F4" s="9"/>
      <x:c r="G4" s="9"/>
      <x:c r="H4" s="9"/>
      <x:c r="I4" s="9"/>
      <x:c r="J4" s="9"/>
    </x:row>
    <x:row r="6" ht="26" customHeight="1">
      <x:c r="A6" s="12" t="str">
        <x:v>Dwa podejścia do przebudowy oferty</x:v>
      </x:c>
      <x:c r="B6" s="12"/>
      <x:c r="C6" s="12"/>
      <x:c r="D6" s="12"/>
      <x:c r="E6" s="12"/>
      <x:c r="F6" s="12"/>
      <x:c r="G6" s="12"/>
      <x:c r="H6" s="12"/>
      <x:c r="I6" s="12"/>
      <x:c r="J6" s="12"/>
    </x:row>
    <x:row r="8" ht="30" customHeight="1">
      <x:c r="A8" s="15" t="str">
        <x:v>SCENARIUSZ</x:v>
      </x:c>
      <x:c r="B8" s="15" t="str">
        <x:v>CHARAKTER</x:v>
      </x:c>
      <x:c r="C8" s="15" t="str">
        <x:v>NAJWIĘKSZA ZMIANA</x:v>
      </x:c>
      <x:c r="D8" s="15" t="str">
        <x:v>REKOMENDACJA</x:v>
      </x:c>
    </x:row>
    <x:row r="9" ht="40" customHeight="1">
      <x:c r="A9" s="18" t="str">
        <x:v>A • OSTROŻNY</x:v>
      </x:c>
      <x:c r="B9" s="18" t="str">
        <x:v>blisko obecnych cen</x:v>
      </x:c>
      <x:c r="C9" s="18" t="str">
        <x:v>4 warianty / technologia</x:v>
      </x:c>
      <x:c r="D9" s="18" t="str">
        <x:v>TAK • do dalszej analizy</x:v>
      </x:c>
    </x:row>
    <x:row r="10" ht="40" customHeight="1">
      <x:c r="A10" s="18" t="str">
        <x:v>B • PROCENTOWY</x:v>
      </x:c>
      <x:c r="B10" s="18" t="str">
        <x:v>S≈55%, M=100%, L≈130%, VIP≈230%</x:v>
      </x:c>
      <x:c r="C10" s="18" t="str">
        <x:v>znacząca podwyżka wielu pakietów</x:v>
      </x:c>
      <x:c r="D10" s="18" t="str">
        <x:v>NIE • bez uzasadnionego VIP</x:v>
      </x:c>
    </x:row>
    <x:row r="11" ht="40" customHeight="1">
      <x:c r="A11" s="18" t="str">
        <x:v>STARE CENY</x:v>
      </x:c>
      <x:c r="B11" s="18" t="str">
        <x:v>13 planów: 5 LAN, 5 AIR, 3 FIBER</x:v>
      </x:c>
      <x:c r="C11" s="18" t="str">
        <x:v>punkt odniesienia</x:v>
      </x:c>
      <x:c r="D11" s="18" t="str">
        <x:v>źródło: MAD-NET</x:v>
      </x:c>
    </x:row>
    <x:row r="12" ht="40" customHeight="1">
      <x:c r="A12" s="18" t="str">
        <x:v>WAŻNE</x:v>
      </x:c>
      <x:c r="B12" s="18" t="str">
        <x:v>VIP nie może być tylko droższym 80 Mb/s</x:v>
      </x:c>
      <x:c r="C12" s="18" t="str">
        <x:v>definicja świadczeń i SLA</x:v>
      </x:c>
      <x:c r="D12" s="18" t="str">
        <x:v>do decyzji z właścicielem</x:v>
      </x:c>
    </x:row>
    <x:row r="14" ht="28" customHeight="1">
      <x:c r="A14" s="20" t="str">
        <x:v>Wymogi / ograniczenia przed wdrożeniem</x:v>
      </x:c>
      <x:c r="B14" s="20"/>
      <x:c r="C14" s="20"/>
      <x:c r="D14" s="20"/>
      <x:c r="E14" s="20"/>
      <x:c r="F14" s="20"/>
      <x:c r="G14" s="20"/>
      <x:c r="H14" s="20"/>
      <x:c r="I14" s="20"/>
      <x:c r="J14" s="20"/>
    </x:row>
    <x:row r="16" ht="30" customHeight="1">
      <x:c r="A16" s="18" t="str">
        <x:v>PKE art. 301: umowa konsumencka na czas określony co do zasady maks. 24 miesiące — nie dodawaj wariantu 36 miesięcy.</x:v>
      </x:c>
      <x:c r="B16" s="18"/>
      <x:c r="C16" s="18"/>
      <x:c r="D16" s="18"/>
      <x:c r="E16" s="18"/>
      <x:c r="F16" s="18"/>
      <x:c r="G16" s="18"/>
      <x:c r="H16" s="18"/>
      <x:c r="I16" s="18"/>
      <x:c r="J16" s="18"/>
    </x:row>
    <x:row r="17" ht="30" customHeight="1">
      <x:c r="A17" s="18" t="str">
        <x:v>Wartości FIBER VIP = 600 Mb/s są wyłącznie HIPOTEZĄ, niezweryfikowaną na infrastrukturze MAD-NET.</x:v>
      </x:c>
      <x:c r="B17" s="18"/>
      <x:c r="C17" s="18"/>
      <x:c r="D17" s="18"/>
      <x:c r="E17" s="18"/>
      <x:c r="F17" s="18"/>
      <x:c r="G17" s="18"/>
      <x:c r="H17" s="18"/>
      <x:c r="I17" s="18"/>
      <x:c r="J17" s="18"/>
    </x:row>
    <x:row r="18" ht="30" customHeight="1">
      <x:c r="A18" s="18" t="str">
        <x:v>Oferta VIP wymaga osobnych, zatwierdzonych korzyści; bez nich oznacz 4. pakiet MAX/XL zamiast deklarować usługi premium.</x:v>
      </x:c>
      <x:c r="B18" s="18"/>
      <x:c r="C18" s="18"/>
      <x:c r="D18" s="18"/>
      <x:c r="E18" s="18"/>
      <x:c r="F18" s="18"/>
      <x:c r="G18" s="18"/>
      <x:c r="H18" s="18"/>
      <x:c r="I18" s="18"/>
      <x:c r="J18" s="18"/>
    </x:row>
    <x:row r="19" ht="30" customHeight="1">
      <x:c r="A19" s="18" t="str">
        <x:v>UMOWY: LAN i AIR = 12/24 m-ce; FIBER = tylko 24 m-ce; bezterminowo = wycena indywidualna dla wszystkich technologii.</x:v>
      </x:c>
      <x:c r="B19" s="18"/>
      <x:c r="C19" s="18"/>
      <x:c r="D19" s="18"/>
      <x:c r="E19" s="18"/>
      <x:c r="F19" s="18"/>
      <x:c r="G19" s="18"/>
      <x:c r="H19" s="18"/>
      <x:c r="I19" s="18"/>
      <x:c r="J19" s="18"/>
    </x:row>
    <x:row r="20" ht="30" customHeight="1">
      <x:c r="A20" s="18" t="str">
        <x:v>Nie migruj istniejących klientów automatycznie na nowe stawki; ustal zasady ofert legacy/nowych umów.</x:v>
      </x:c>
      <x:c r="B20" s="18"/>
      <x:c r="C20" s="18"/>
      <x:c r="D20" s="18"/>
      <x:c r="E20" s="18"/>
      <x:c r="F20" s="18"/>
      <x:c r="G20" s="18"/>
      <x:c r="H20" s="18"/>
      <x:c r="I20" s="18"/>
      <x:c r="J20" s="18"/>
    </x:row>
    <x:row r="21" ht="30" customHeight="1">
      <x:c r="A21" s="18" t="str">
        <x:v>Potwierdź, czy ceny są brutto, warunki routera, aktywacji, adresu IP i opłaty instalacyjnej.</x:v>
      </x:c>
      <x:c r="B21" s="18"/>
      <x:c r="C21" s="18"/>
      <x:c r="D21" s="18"/>
      <x:c r="E21" s="18"/>
      <x:c r="F21" s="18"/>
      <x:c r="G21" s="18"/>
      <x:c r="H21" s="18"/>
      <x:c r="I21" s="18"/>
      <x:c r="J21" s="18"/>
    </x:row>
    <x:row r="24">
      <x:c r="A24" s="22" t="str">
        <x:v>ŹRÓDŁA: https://www.mad-net.pl/cennik.php  |  https://eli.gov.pl/eli/DU/2024/1221/ogl</x:v>
      </x:c>
      <x:c r="B24" s="22"/>
      <x:c r="C24" s="22"/>
      <x:c r="D24" s="22"/>
      <x:c r="E24" s="22"/>
      <x:c r="F24" s="22"/>
      <x:c r="G24" s="22"/>
      <x:c r="H24" s="22"/>
      <x:c r="I24" s="22"/>
      <x:c r="J24" s="22"/>
    </x:row>
  </x:sheetData>
  <x:mergeCells>
    <x:mergeCell ref="A1:J2"/>
    <x:mergeCell ref="A4:J4"/>
    <x:mergeCell ref="A6:J6"/>
    <x:mergeCell ref="A14:J14"/>
    <x:mergeCell ref="A16:J16"/>
    <x:mergeCell ref="A17:J17"/>
    <x:mergeCell ref="A18:J18"/>
    <x:mergeCell ref="A19:J19"/>
    <x:mergeCell ref="A20:J20"/>
    <x:mergeCell ref="A21:J21"/>
    <x:mergeCell ref="A24:J2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18" hidden="0" customWidth="1"/>
    <x:col min="3" max="3" width="21" hidden="0" customWidth="1"/>
    <x:col min="4" max="4" width="21" hidden="0" customWidth="1"/>
    <x:col min="5" max="5" width="19" hidden="0" customWidth="1"/>
    <x:col min="6" max="6" width="18" hidden="0" customWidth="1"/>
    <x:col min="7" max="7" width="20" hidden="0" customWidth="1"/>
    <x:col min="8" max="8" width="15" hidden="0" customWidth="1"/>
    <x:col min="9" max="9" width="43" hidden="0" customWidth="1"/>
  </x:cols>
  <x:sheetData>
    <x:row r="1" ht="36" customHeight="1">
      <x:c r="A1" s="4" t="str">
        <x:v>OBECNY CENNIK  |  13 PAKIETÓW</x:v>
      </x:c>
      <x:c r="B1" s="4"/>
      <x:c r="C1" s="4"/>
      <x:c r="D1" s="4"/>
      <x:c r="E1" s="4"/>
      <x:c r="F1" s="4"/>
      <x:c r="G1" s="4"/>
      <x:c r="H1" s="4"/>
      <x:c r="I1" s="4"/>
    </x:row>
    <x:row r="2" ht="36" customHeight="1">
      <x:c r="A2" s="4"/>
      <x:c r="B2" s="4"/>
      <x:c r="C2" s="4"/>
      <x:c r="D2" s="4"/>
      <x:c r="E2" s="4"/>
      <x:c r="F2" s="4"/>
      <x:c r="G2" s="4"/>
      <x:c r="H2" s="4"/>
      <x:c r="I2" s="4"/>
    </x:row>
    <x:row r="4" ht="30" customHeight="1">
      <x:c r="A4" s="15" t="str">
        <x:v>TECHNOLOGIA</x:v>
      </x:c>
      <x:c r="B4" s="15" t="str">
        <x:v>PAKIET</x:v>
      </x:c>
      <x:c r="C4" s="15" t="str">
        <x:v>POBIERANIE Mb/s</x:v>
      </x:c>
      <x:c r="D4" s="15" t="str">
        <x:v>WYSYŁANIE Mb/s</x:v>
      </x:c>
      <x:c r="E4" s="15" t="str">
        <x:v>24 MIES. zł</x:v>
      </x:c>
      <x:c r="F4" s="15" t="str">
        <x:v>12 MIES. zł</x:v>
      </x:c>
      <x:c r="G4" s="15" t="str">
        <x:v>BEZTERMINOWO</x:v>
      </x:c>
      <x:c r="H4" s="15" t="str">
        <x:v>STATUS</x:v>
      </x:c>
      <x:c r="I4" s="15" t="str">
        <x:v>ŹRÓDŁO</x:v>
      </x:c>
    </x:row>
    <x:row r="5" ht="22" customHeight="1">
      <x:c r="A5" s="26" t="str">
        <x:v>AIR</x:v>
      </x:c>
      <x:c r="B5" s="26" t="str">
        <x:v>AIR-10</x:v>
      </x:c>
      <x:c r="C5" t="n">
        <x:v>10</x:v>
      </x:c>
      <x:c r="D5" t="n">
        <x:v>2</x:v>
      </x:c>
      <x:c r="E5" s="24" t="n">
        <x:v>54</x:v>
      </x:c>
      <x:c r="F5" s="24" t="n">
        <x:v>59</x:v>
      </x:c>
      <x:c r="G5" t="str">
        <x:v>indywidualnie</x:v>
      </x:c>
      <x:c r="H5" t="str">
        <x:v>obecny</x:v>
      </x:c>
      <x:c r="I5" t="str">
        <x:v>https://www.mad-net.pl/cennik.php</x:v>
      </x:c>
    </x:row>
    <x:row r="6" ht="22" customHeight="1">
      <x:c r="A6" s="26" t="str">
        <x:v>AIR</x:v>
      </x:c>
      <x:c r="B6" s="26" t="str">
        <x:v>AIR-20</x:v>
      </x:c>
      <x:c r="C6" t="n">
        <x:v>20</x:v>
      </x:c>
      <x:c r="D6" t="n">
        <x:v>2</x:v>
      </x:c>
      <x:c r="E6" s="24" t="n">
        <x:v>64</x:v>
      </x:c>
      <x:c r="F6" s="24" t="n">
        <x:v>69</x:v>
      </x:c>
      <x:c r="G6" t="str">
        <x:v>indywidualnie</x:v>
      </x:c>
      <x:c r="H6" t="str">
        <x:v>obecny</x:v>
      </x:c>
      <x:c r="I6" t="str">
        <x:v>https://www.mad-net.pl/cennik.php</x:v>
      </x:c>
    </x:row>
    <x:row r="7" ht="22" customHeight="1">
      <x:c r="A7" s="26" t="str">
        <x:v>AIR</x:v>
      </x:c>
      <x:c r="B7" s="26" t="str">
        <x:v>AIR-40</x:v>
      </x:c>
      <x:c r="C7" t="n">
        <x:v>40</x:v>
      </x:c>
      <x:c r="D7" t="n">
        <x:v>5</x:v>
      </x:c>
      <x:c r="E7" s="24" t="n">
        <x:v>74</x:v>
      </x:c>
      <x:c r="F7" s="24" t="n">
        <x:v>79</x:v>
      </x:c>
      <x:c r="G7" t="str">
        <x:v>indywidualnie</x:v>
      </x:c>
      <x:c r="H7" t="str">
        <x:v>obecny</x:v>
      </x:c>
      <x:c r="I7" t="str">
        <x:v>https://www.mad-net.pl/cennik.php</x:v>
      </x:c>
    </x:row>
    <x:row r="8" ht="22" customHeight="1">
      <x:c r="A8" s="26" t="str">
        <x:v>AIR</x:v>
      </x:c>
      <x:c r="B8" s="26" t="str">
        <x:v>AIR-60</x:v>
      </x:c>
      <x:c r="C8" t="n">
        <x:v>60</x:v>
      </x:c>
      <x:c r="D8" t="n">
        <x:v>5</x:v>
      </x:c>
      <x:c r="E8" s="24" t="n">
        <x:v>84</x:v>
      </x:c>
      <x:c r="F8" s="24" t="n">
        <x:v>89</x:v>
      </x:c>
      <x:c r="G8" t="str">
        <x:v>indywidualnie</x:v>
      </x:c>
      <x:c r="H8" t="str">
        <x:v>obecny</x:v>
      </x:c>
      <x:c r="I8" t="str">
        <x:v>https://www.mad-net.pl/cennik.php</x:v>
      </x:c>
    </x:row>
    <x:row r="9" ht="22" customHeight="1">
      <x:c r="A9" s="26" t="str">
        <x:v>AIR</x:v>
      </x:c>
      <x:c r="B9" s="26" t="str">
        <x:v>AIR-80</x:v>
      </x:c>
      <x:c r="C9" t="n">
        <x:v>80</x:v>
      </x:c>
      <x:c r="D9" t="n">
        <x:v>10</x:v>
      </x:c>
      <x:c r="E9" s="24" t="n">
        <x:v>94</x:v>
      </x:c>
      <x:c r="F9" s="24" t="n">
        <x:v>99</x:v>
      </x:c>
      <x:c r="G9" t="str">
        <x:v>indywidualnie</x:v>
      </x:c>
      <x:c r="H9" t="str">
        <x:v>obecny</x:v>
      </x:c>
      <x:c r="I9" t="str">
        <x:v>https://www.mad-net.pl/cennik.php</x:v>
      </x:c>
    </x:row>
    <x:row r="10" ht="22" customHeight="1">
      <x:c r="A10" s="28" t="str">
        <x:v>LAN</x:v>
      </x:c>
      <x:c r="B10" s="28" t="str">
        <x:v>LAN-10</x:v>
      </x:c>
      <x:c r="C10" t="n">
        <x:v>10</x:v>
      </x:c>
      <x:c r="D10" t="n">
        <x:v>2</x:v>
      </x:c>
      <x:c r="E10" s="24" t="n">
        <x:v>49</x:v>
      </x:c>
      <x:c r="F10" s="24" t="n">
        <x:v>54</x:v>
      </x:c>
      <x:c r="G10" t="str">
        <x:v>indywidualnie</x:v>
      </x:c>
      <x:c r="H10" t="str">
        <x:v>obecny</x:v>
      </x:c>
      <x:c r="I10" t="str">
        <x:v>https://www.mad-net.pl/cennik.php</x:v>
      </x:c>
    </x:row>
    <x:row r="11" ht="22" customHeight="1">
      <x:c r="A11" s="28" t="str">
        <x:v>LAN</x:v>
      </x:c>
      <x:c r="B11" s="28" t="str">
        <x:v>LAN-20</x:v>
      </x:c>
      <x:c r="C11" t="n">
        <x:v>20</x:v>
      </x:c>
      <x:c r="D11" t="n">
        <x:v>2</x:v>
      </x:c>
      <x:c r="E11" s="24" t="n">
        <x:v>59</x:v>
      </x:c>
      <x:c r="F11" s="24" t="n">
        <x:v>64</x:v>
      </x:c>
      <x:c r="G11" t="str">
        <x:v>indywidualnie</x:v>
      </x:c>
      <x:c r="H11" t="str">
        <x:v>obecny</x:v>
      </x:c>
      <x:c r="I11" t="str">
        <x:v>https://www.mad-net.pl/cennik.php</x:v>
      </x:c>
    </x:row>
    <x:row r="12" ht="22" customHeight="1">
      <x:c r="A12" s="28" t="str">
        <x:v>LAN</x:v>
      </x:c>
      <x:c r="B12" s="28" t="str">
        <x:v>LAN-40</x:v>
      </x:c>
      <x:c r="C12" t="n">
        <x:v>40</x:v>
      </x:c>
      <x:c r="D12" t="n">
        <x:v>5</x:v>
      </x:c>
      <x:c r="E12" s="24" t="n">
        <x:v>64</x:v>
      </x:c>
      <x:c r="F12" s="24" t="n">
        <x:v>69</x:v>
      </x:c>
      <x:c r="G12" t="str">
        <x:v>indywidualnie</x:v>
      </x:c>
      <x:c r="H12" t="str">
        <x:v>obecny</x:v>
      </x:c>
      <x:c r="I12" t="str">
        <x:v>https://www.mad-net.pl/cennik.php</x:v>
      </x:c>
    </x:row>
    <x:row r="13" ht="22" customHeight="1">
      <x:c r="A13" s="28" t="str">
        <x:v>LAN</x:v>
      </x:c>
      <x:c r="B13" s="28" t="str">
        <x:v>LAN-60</x:v>
      </x:c>
      <x:c r="C13" t="n">
        <x:v>60</x:v>
      </x:c>
      <x:c r="D13" t="n">
        <x:v>5</x:v>
      </x:c>
      <x:c r="E13" s="24" t="n">
        <x:v>69</x:v>
      </x:c>
      <x:c r="F13" s="24" t="n">
        <x:v>74</x:v>
      </x:c>
      <x:c r="G13" t="str">
        <x:v>indywidualnie</x:v>
      </x:c>
      <x:c r="H13" t="str">
        <x:v>obecny</x:v>
      </x:c>
      <x:c r="I13" t="str">
        <x:v>https://www.mad-net.pl/cennik.php</x:v>
      </x:c>
    </x:row>
    <x:row r="14" ht="22" customHeight="1">
      <x:c r="A14" s="28" t="str">
        <x:v>LAN</x:v>
      </x:c>
      <x:c r="B14" s="28" t="str">
        <x:v>LAN-80</x:v>
      </x:c>
      <x:c r="C14" t="n">
        <x:v>80</x:v>
      </x:c>
      <x:c r="D14" t="n">
        <x:v>10</x:v>
      </x:c>
      <x:c r="E14" s="24" t="n">
        <x:v>74</x:v>
      </x:c>
      <x:c r="F14" s="24" t="n">
        <x:v>79</x:v>
      </x:c>
      <x:c r="G14" t="str">
        <x:v>indywidualnie</x:v>
      </x:c>
      <x:c r="H14" t="str">
        <x:v>obecny</x:v>
      </x:c>
      <x:c r="I14" t="str">
        <x:v>https://www.mad-net.pl/cennik.php</x:v>
      </x:c>
    </x:row>
    <x:row r="15" ht="22" customHeight="1">
      <x:c r="A15" s="30" t="str">
        <x:v>FIBER</x:v>
      </x:c>
      <x:c r="B15" s="30" t="str">
        <x:v>FIBER-50</x:v>
      </x:c>
      <x:c r="C15" t="n">
        <x:v>50</x:v>
      </x:c>
      <x:c r="D15" t="n">
        <x:v>20</x:v>
      </x:c>
      <x:c r="E15" s="24" t="n">
        <x:v>45</x:v>
      </x:c>
      <x:c r="F15" s="24"/>
      <x:c r="G15" t="str">
        <x:v>indywidualnie</x:v>
      </x:c>
      <x:c r="H15" t="str">
        <x:v>obecny</x:v>
      </x:c>
      <x:c r="I15" t="str">
        <x:v>https://www.mad-net.pl/cennik.php</x:v>
      </x:c>
    </x:row>
    <x:row r="16" ht="22" customHeight="1">
      <x:c r="A16" s="30" t="str">
        <x:v>FIBER</x:v>
      </x:c>
      <x:c r="B16" s="30" t="str">
        <x:v>FIBER-100</x:v>
      </x:c>
      <x:c r="C16" t="n">
        <x:v>100</x:v>
      </x:c>
      <x:c r="D16" t="n">
        <x:v>40</x:v>
      </x:c>
      <x:c r="E16" s="24" t="n">
        <x:v>55</x:v>
      </x:c>
      <x:c r="F16" s="24"/>
      <x:c r="G16" t="str">
        <x:v>indywidualnie</x:v>
      </x:c>
      <x:c r="H16" t="str">
        <x:v>obecny</x:v>
      </x:c>
      <x:c r="I16" t="str">
        <x:v>https://www.mad-net.pl/cennik.php</x:v>
      </x:c>
    </x:row>
    <x:row r="17" ht="22" customHeight="1">
      <x:c r="A17" s="30" t="str">
        <x:v>FIBER</x:v>
      </x:c>
      <x:c r="B17" s="30" t="str">
        <x:v>FIBER-300</x:v>
      </x:c>
      <x:c r="C17" t="n">
        <x:v>300</x:v>
      </x:c>
      <x:c r="D17" t="n">
        <x:v>80</x:v>
      </x:c>
      <x:c r="E17" s="24" t="n">
        <x:v>65</x:v>
      </x:c>
      <x:c r="F17" s="24"/>
      <x:c r="G17" t="str">
        <x:v>indywidualnie</x:v>
      </x:c>
      <x:c r="H17" t="str">
        <x:v>obecny</x:v>
      </x:c>
      <x:c r="I17" t="str">
        <x:v>https://www.mad-net.pl/cennik.php</x:v>
      </x:c>
    </x:row>
  </x:sheetData>
  <x:mergeCells>
    <x:mergeCell ref="A1:I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16" hidden="0" customWidth="1"/>
    <x:col min="2" max="2" width="16" hidden="0" customWidth="1"/>
    <x:col min="3" max="3" width="12" hidden="0" customWidth="1"/>
    <x:col min="4" max="4" width="19" hidden="0" customWidth="1"/>
    <x:col min="5" max="5" width="13" hidden="0" customWidth="1"/>
    <x:col min="6" max="6" width="13" hidden="0" customWidth="1"/>
    <x:col min="7" max="7" width="18" hidden="0" customWidth="1"/>
    <x:col min="8" max="8" width="14" hidden="0" customWidth="1"/>
    <x:col min="9" max="9" width="14" hidden="0" customWidth="1"/>
    <x:col min="10" max="10" width="18" hidden="0" customWidth="1"/>
    <x:col min="11" max="11" width="43" hidden="0" customWidth="1"/>
    <x:col min="12" max="12" width="42" hidden="0" customWidth="1"/>
    <x:col min="13" max="13" width="22" hidden="0" customWidth="1"/>
  </x:cols>
  <x:sheetData>
    <x:row r="1" ht="36" customHeight="1">
      <x:c r="A1" s="4" t="str">
        <x:v>SCENARIUSZE CENOWE  |  ZATWIERDZIĆ PRZED PUBLIKACJĄ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 ht="36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</x:row>
    <x:row r="3" ht="27" customHeight="1">
      <x:c r="A3" s="32" t="str">
        <x:v>A = ostrożny / B = procentowy. Podane stawki są propozycją, NIE aktualną ofertą operatora.</x:v>
      </x:c>
      <x:c r="B3" s="32"/>
      <x:c r="C3" s="32"/>
      <x:c r="D3" s="32"/>
      <x:c r="E3" s="32"/>
      <x:c r="F3" s="32"/>
      <x:c r="G3" s="32"/>
      <x:c r="H3" s="32"/>
      <x:c r="I3" s="32"/>
      <x:c r="J3" s="32"/>
      <x:c r="K3" s="32"/>
      <x:c r="L3" s="32"/>
    </x:row>
    <x:row r="5" ht="30" customHeight="1">
      <x:c r="A5" s="15" t="str">
        <x:v>SCENARIUSZ</x:v>
      </x:c>
      <x:c r="B5" s="15" t="str">
        <x:v>TECHNOLOGIA</x:v>
      </x:c>
      <x:c r="C5" s="15" t="str">
        <x:v>POZIOM</x:v>
      </x:c>
      <x:c r="D5" s="15" t="str">
        <x:v>PAKIET</x:v>
      </x:c>
      <x:c r="E5" s="15" t="str">
        <x:v>↓ Mb/s</x:v>
      </x:c>
      <x:c r="F5" s="15" t="str">
        <x:v>↑ Mb/s</x:v>
      </x:c>
      <x:c r="G5" s="15" t="str">
        <x:v>24 MIES. zł</x:v>
      </x:c>
      <x:c r="H5" s="15" t="str">
        <x:v>M=100%</x:v>
      </x:c>
      <x:c r="I5" s="15" t="str">
        <x:v>Δ do M</x:v>
      </x:c>
      <x:c r="J5" s="15" t="str">
        <x:v>12 MIES. zł</x:v>
      </x:c>
      <x:c r="K5" s="15" t="str">
        <x:v>CHARAKTER 4. WARIANTU</x:v>
      </x:c>
      <x:c r="L5" s="15" t="str">
        <x:v>UWAGI / RYZYKA</x:v>
      </x:c>
      <x:c r="M5" s="87" t="str">
        <x:v>BEZTERMINOWO</x:v>
      </x:c>
    </x:row>
    <x:row r="6" ht="39" customHeight="1">
      <x:c r="A6" t="str">
        <x:v>A</x:v>
      </x:c>
      <x:c r="B6" s="28" t="str">
        <x:v>LAN</x:v>
      </x:c>
      <x:c r="C6" s="28" t="str">
        <x:v>S</x:v>
      </x:c>
      <x:c r="D6" s="28" t="str">
        <x:v>LAN-10</x:v>
      </x:c>
      <x:c r="E6" t="n">
        <x:v>10</x:v>
      </x:c>
      <x:c r="F6" t="n">
        <x:v>2</x:v>
      </x:c>
      <x:c r="G6" s="24" t="n">
        <x:v>49</x:v>
      </x:c>
      <x:c r="H6" s="38" t="n">
        <x:f>G6/$G$7</x:f>
        <x:v>0.8305084745762712</x:v>
      </x:c>
      <x:c r="I6" s="40" t="n">
        <x:f>G6-$G$7</x:f>
        <x:v>-10</x:v>
      </x:c>
      <x:c r="J6" s="24" t="n">
        <x:v>54</x:v>
      </x:c>
      <x:c r="K6" s="18" t="str">
        <x:v>Dostęp standardowy</x:v>
      </x:c>
      <x:c r="L6" s="18" t="str">
        <x:v>Prędkość już istnieje, cena proponowana</x:v>
      </x:c>
      <x:c r="M6" s="88" t="str">
        <x:v>Wycena indywidualna</x:v>
      </x:c>
    </x:row>
    <x:row r="7" ht="39" customHeight="1">
      <x:c r="A7" t="str">
        <x:v>A</x:v>
      </x:c>
      <x:c r="B7" s="28" t="str">
        <x:v>LAN</x:v>
      </x:c>
      <x:c r="C7" s="28" t="str">
        <x:v>M</x:v>
      </x:c>
      <x:c r="D7" s="28" t="str">
        <x:v>LAN-20</x:v>
      </x:c>
      <x:c r="E7" t="n">
        <x:v>20</x:v>
      </x:c>
      <x:c r="F7" t="n">
        <x:v>2</x:v>
      </x:c>
      <x:c r="G7" s="24" t="n">
        <x:v>59</x:v>
      </x:c>
      <x:c r="H7" s="38" t="n">
        <x:f>G7/$G$7</x:f>
        <x:v>1</x:v>
      </x:c>
      <x:c r="I7" s="40" t="n">
        <x:f>G7-$G$7</x:f>
        <x:v>0</x:v>
      </x:c>
      <x:c r="J7" s="24" t="n">
        <x:v>64</x:v>
      </x:c>
      <x:c r="K7" s="18" t="str">
        <x:v>Dostęp standardowy</x:v>
      </x:c>
      <x:c r="L7" s="18" t="str">
        <x:v>Prędkość już istnieje, cena proponowana</x:v>
      </x:c>
      <x:c r="M7" s="88" t="str">
        <x:v>Wycena indywidualna</x:v>
      </x:c>
    </x:row>
    <x:row r="8" ht="39" customHeight="1">
      <x:c r="A8" t="str">
        <x:v>A</x:v>
      </x:c>
      <x:c r="B8" s="28" t="str">
        <x:v>LAN</x:v>
      </x:c>
      <x:c r="C8" s="28" t="str">
        <x:v>L</x:v>
      </x:c>
      <x:c r="D8" s="28" t="str">
        <x:v>LAN-40</x:v>
      </x:c>
      <x:c r="E8" t="n">
        <x:v>40</x:v>
      </x:c>
      <x:c r="F8" t="n">
        <x:v>5</x:v>
      </x:c>
      <x:c r="G8" s="24" t="n">
        <x:v>69</x:v>
      </x:c>
      <x:c r="H8" s="38" t="n">
        <x:f>G8/$G$7</x:f>
        <x:v>1.1694915254237288</x:v>
      </x:c>
      <x:c r="I8" s="40" t="n">
        <x:f>G8-$G$7</x:f>
        <x:v>10</x:v>
      </x:c>
      <x:c r="J8" s="24" t="n">
        <x:v>74</x:v>
      </x:c>
      <x:c r="K8" s="18" t="str">
        <x:v>Dostęp standardowy</x:v>
      </x:c>
      <x:c r="L8" s="18" t="str">
        <x:v>Prędkość już istnieje, cena proponowana</x:v>
      </x:c>
      <x:c r="M8" s="88" t="str">
        <x:v>Wycena indywidualna</x:v>
      </x:c>
    </x:row>
    <x:row r="9" ht="39" customHeight="1">
      <x:c r="A9" t="str">
        <x:v>A</x:v>
      </x:c>
      <x:c r="B9" s="28" t="str">
        <x:v>LAN</x:v>
      </x:c>
      <x:c r="C9" s="35" t="str">
        <x:v>VIP</x:v>
      </x:c>
      <x:c r="D9" s="28" t="str">
        <x:v>LAN-80</x:v>
      </x:c>
      <x:c r="E9" t="n">
        <x:v>80</x:v>
      </x:c>
      <x:c r="F9" t="n">
        <x:v>10</x:v>
      </x:c>
      <x:c r="G9" s="24" t="n">
        <x:v>99</x:v>
      </x:c>
      <x:c r="H9" s="38" t="n">
        <x:f>G9/$G$7</x:f>
        <x:v>1.6779661016949152</x:v>
      </x:c>
      <x:c r="I9" s="40" t="n">
        <x:f>G9-$G$7</x:f>
        <x:v>40</x:v>
      </x:c>
      <x:c r="J9" s="24" t="n">
        <x:v>104</x:v>
      </x:c>
      <x:c r="K9" s="18" t="str">
        <x:v>Prędkość + realne świadczenia VIP DO POTWIERDZENIA</x:v>
      </x:c>
      <x:c r="L9" s="18" t="str">
        <x:v>VIP wymaga faktycznie dodatkowej wartości</x:v>
      </x:c>
      <x:c r="M9" s="88" t="str">
        <x:v>Wycena indywidualna</x:v>
      </x:c>
    </x:row>
    <x:row r="10" ht="39" customHeight="1">
      <x:c r="A10" t="str">
        <x:v>A</x:v>
      </x:c>
      <x:c r="B10" s="26" t="str">
        <x:v>AIR</x:v>
      </x:c>
      <x:c r="C10" s="26" t="str">
        <x:v>S</x:v>
      </x:c>
      <x:c r="D10" s="26" t="str">
        <x:v>AIR-10</x:v>
      </x:c>
      <x:c r="E10" t="n">
        <x:v>10</x:v>
      </x:c>
      <x:c r="F10" t="n">
        <x:v>2</x:v>
      </x:c>
      <x:c r="G10" s="24" t="n">
        <x:v>54</x:v>
      </x:c>
      <x:c r="H10" s="38" t="n">
        <x:f>G10/$G$11</x:f>
        <x:v>0.84375</x:v>
      </x:c>
      <x:c r="I10" s="40" t="n">
        <x:f>G10-$G$11</x:f>
        <x:v>-10</x:v>
      </x:c>
      <x:c r="J10" s="24" t="n">
        <x:v>59</x:v>
      </x:c>
      <x:c r="K10" s="18" t="str">
        <x:v>Dostęp standardowy</x:v>
      </x:c>
      <x:c r="L10" s="18" t="str">
        <x:v>Prędkość już istnieje, cena proponowana</x:v>
      </x:c>
      <x:c r="M10" s="88" t="str">
        <x:v>Wycena indywidualna</x:v>
      </x:c>
    </x:row>
    <x:row r="11" ht="39" customHeight="1">
      <x:c r="A11" t="str">
        <x:v>A</x:v>
      </x:c>
      <x:c r="B11" s="26" t="str">
        <x:v>AIR</x:v>
      </x:c>
      <x:c r="C11" s="26" t="str">
        <x:v>M</x:v>
      </x:c>
      <x:c r="D11" s="26" t="str">
        <x:v>AIR-20</x:v>
      </x:c>
      <x:c r="E11" t="n">
        <x:v>20</x:v>
      </x:c>
      <x:c r="F11" t="n">
        <x:v>2</x:v>
      </x:c>
      <x:c r="G11" s="24" t="n">
        <x:v>64</x:v>
      </x:c>
      <x:c r="H11" s="38" t="n">
        <x:f>G11/$G$11</x:f>
        <x:v>1</x:v>
      </x:c>
      <x:c r="I11" s="40" t="n">
        <x:f>G11-$G$11</x:f>
        <x:v>0</x:v>
      </x:c>
      <x:c r="J11" s="24" t="n">
        <x:v>69</x:v>
      </x:c>
      <x:c r="K11" s="18" t="str">
        <x:v>Dostęp standardowy</x:v>
      </x:c>
      <x:c r="L11" s="18" t="str">
        <x:v>Prędkość już istnieje, cena proponowana</x:v>
      </x:c>
      <x:c r="M11" s="88" t="str">
        <x:v>Wycena indywidualna</x:v>
      </x:c>
    </x:row>
    <x:row r="12" ht="39" customHeight="1">
      <x:c r="A12" t="str">
        <x:v>A</x:v>
      </x:c>
      <x:c r="B12" s="26" t="str">
        <x:v>AIR</x:v>
      </x:c>
      <x:c r="C12" s="26" t="str">
        <x:v>L</x:v>
      </x:c>
      <x:c r="D12" s="26" t="str">
        <x:v>AIR-40</x:v>
      </x:c>
      <x:c r="E12" t="n">
        <x:v>40</x:v>
      </x:c>
      <x:c r="F12" t="n">
        <x:v>5</x:v>
      </x:c>
      <x:c r="G12" s="24" t="n">
        <x:v>79</x:v>
      </x:c>
      <x:c r="H12" s="38" t="n">
        <x:f>G12/$G$11</x:f>
        <x:v>1.234375</x:v>
      </x:c>
      <x:c r="I12" s="40" t="n">
        <x:f>G12-$G$11</x:f>
        <x:v>15</x:v>
      </x:c>
      <x:c r="J12" s="24" t="n">
        <x:v>84</x:v>
      </x:c>
      <x:c r="K12" s="18" t="str">
        <x:v>Dostęp standardowy</x:v>
      </x:c>
      <x:c r="L12" s="18" t="str">
        <x:v>Prędkość już istnieje, cena proponowana</x:v>
      </x:c>
      <x:c r="M12" s="88" t="str">
        <x:v>Wycena indywidualna</x:v>
      </x:c>
    </x:row>
    <x:row r="13" ht="39" customHeight="1">
      <x:c r="A13" t="str">
        <x:v>A</x:v>
      </x:c>
      <x:c r="B13" s="26" t="str">
        <x:v>AIR</x:v>
      </x:c>
      <x:c r="C13" s="35" t="str">
        <x:v>VIP</x:v>
      </x:c>
      <x:c r="D13" s="26" t="str">
        <x:v>AIR-80</x:v>
      </x:c>
      <x:c r="E13" t="n">
        <x:v>80</x:v>
      </x:c>
      <x:c r="F13" t="n">
        <x:v>10</x:v>
      </x:c>
      <x:c r="G13" s="24" t="n">
        <x:v>119</x:v>
      </x:c>
      <x:c r="H13" s="38" t="n">
        <x:f>G13/$G$11</x:f>
        <x:v>1.859375</x:v>
      </x:c>
      <x:c r="I13" s="40" t="n">
        <x:f>G13-$G$11</x:f>
        <x:v>55</x:v>
      </x:c>
      <x:c r="J13" s="24" t="n">
        <x:v>124</x:v>
      </x:c>
      <x:c r="K13" s="18" t="str">
        <x:v>Prędkość + realne świadczenia VIP DO POTWIERDZENIA</x:v>
      </x:c>
      <x:c r="L13" s="18" t="str">
        <x:v>VIP wymaga faktycznie dodatkowej wartości</x:v>
      </x:c>
      <x:c r="M13" s="88" t="str">
        <x:v>Wycena indywidualna</x:v>
      </x:c>
    </x:row>
    <x:row r="14" ht="39" customHeight="1">
      <x:c r="A14" t="str">
        <x:v>A</x:v>
      </x:c>
      <x:c r="B14" s="30" t="str">
        <x:v>FIBER</x:v>
      </x:c>
      <x:c r="C14" s="30" t="str">
        <x:v>S</x:v>
      </x:c>
      <x:c r="D14" s="30" t="str">
        <x:v>FIBER-50</x:v>
      </x:c>
      <x:c r="E14" t="n">
        <x:v>50</x:v>
      </x:c>
      <x:c r="F14" t="n">
        <x:v>20</x:v>
      </x:c>
      <x:c r="G14" s="24" t="n">
        <x:v>45</x:v>
      </x:c>
      <x:c r="H14" s="38" t="n">
        <x:f>G14/$G$15</x:f>
        <x:v>0.8181818181818182</x:v>
      </x:c>
      <x:c r="I14" s="40" t="n">
        <x:f>G14-$G$15</x:f>
        <x:v>-10</x:v>
      </x:c>
      <x:c r="J14" s="24" t="str">
        <x:v>NIEDOSTĘPNE</x:v>
      </x:c>
      <x:c r="K14" s="18" t="str">
        <x:v>Dostęp standardowy</x:v>
      </x:c>
      <x:c r="L14" s="18" t="str">
        <x:v>Prędkość już istnieje, cena proponowana</x:v>
      </x:c>
      <x:c r="M14" s="88" t="str">
        <x:v>Wycena indywidualna</x:v>
      </x:c>
    </x:row>
    <x:row r="15" ht="39" customHeight="1">
      <x:c r="A15" t="str">
        <x:v>A</x:v>
      </x:c>
      <x:c r="B15" s="30" t="str">
        <x:v>FIBER</x:v>
      </x:c>
      <x:c r="C15" s="30" t="str">
        <x:v>M</x:v>
      </x:c>
      <x:c r="D15" s="30" t="str">
        <x:v>FIBER-100</x:v>
      </x:c>
      <x:c r="E15" t="n">
        <x:v>100</x:v>
      </x:c>
      <x:c r="F15" t="n">
        <x:v>40</x:v>
      </x:c>
      <x:c r="G15" s="24" t="n">
        <x:v>55</x:v>
      </x:c>
      <x:c r="H15" s="38" t="n">
        <x:f>G15/$G$15</x:f>
        <x:v>1</x:v>
      </x:c>
      <x:c r="I15" s="40" t="n">
        <x:f>G15-$G$15</x:f>
        <x:v>0</x:v>
      </x:c>
      <x:c r="J15" s="24" t="str">
        <x:v>NIEDOSTĘPNE</x:v>
      </x:c>
      <x:c r="K15" s="18" t="str">
        <x:v>Dostęp standardowy</x:v>
      </x:c>
      <x:c r="L15" s="18" t="str">
        <x:v>Prędkość już istnieje, cena proponowana</x:v>
      </x:c>
      <x:c r="M15" s="88" t="str">
        <x:v>Wycena indywidualna</x:v>
      </x:c>
    </x:row>
    <x:row r="16" ht="39" customHeight="1">
      <x:c r="A16" t="str">
        <x:v>A</x:v>
      </x:c>
      <x:c r="B16" s="30" t="str">
        <x:v>FIBER</x:v>
      </x:c>
      <x:c r="C16" s="30" t="str">
        <x:v>L</x:v>
      </x:c>
      <x:c r="D16" s="30" t="str">
        <x:v>FIBER-300</x:v>
      </x:c>
      <x:c r="E16" t="n">
        <x:v>300</x:v>
      </x:c>
      <x:c r="F16" t="n">
        <x:v>80</x:v>
      </x:c>
      <x:c r="G16" s="24" t="n">
        <x:v>69</x:v>
      </x:c>
      <x:c r="H16" s="38" t="n">
        <x:f>G16/$G$15</x:f>
        <x:v>1.2545454545454546</x:v>
      </x:c>
      <x:c r="I16" s="40" t="n">
        <x:f>G16-$G$15</x:f>
        <x:v>14</x:v>
      </x:c>
      <x:c r="J16" s="24" t="str">
        <x:v>NIEDOSTĘPNE</x:v>
      </x:c>
      <x:c r="K16" s="18" t="str">
        <x:v>Dostęp standardowy</x:v>
      </x:c>
      <x:c r="L16" s="18" t="str">
        <x:v>Prędkość już istnieje, cena proponowana</x:v>
      </x:c>
      <x:c r="M16" s="88" t="str">
        <x:v>Wycena indywidualna</x:v>
      </x:c>
    </x:row>
    <x:row r="17" ht="39" customHeight="1">
      <x:c r="A17" t="str">
        <x:v>A</x:v>
      </x:c>
      <x:c r="B17" s="30" t="str">
        <x:v>FIBER</x:v>
      </x:c>
      <x:c r="C17" s="35" t="str">
        <x:v>VIP</x:v>
      </x:c>
      <x:c r="D17" s="30" t="str">
        <x:v>FIBER-600*</x:v>
      </x:c>
      <x:c r="E17" t="n">
        <x:v>600</x:v>
      </x:c>
      <x:c r="F17"/>
      <x:c r="G17" s="24" t="n">
        <x:v>109</x:v>
      </x:c>
      <x:c r="H17" s="38" t="n">
        <x:f>G17/$G$15</x:f>
        <x:v>1.981818181818182</x:v>
      </x:c>
      <x:c r="I17" s="40" t="n">
        <x:f>G17-$G$15</x:f>
        <x:v>54</x:v>
      </x:c>
      <x:c r="J17" s="24" t="str">
        <x:v>NIEDOSTĘPNE</x:v>
      </x:c>
      <x:c r="K17" s="18" t="str">
        <x:v>Prędkość + realne świadczenia VIP DO POTWIERDZENIA</x:v>
      </x:c>
      <x:c r="L17" s="18" t="str">
        <x:v>600 Mb/s = tylko hipoteza</x:v>
      </x:c>
      <x:c r="M17" s="88" t="str">
        <x:v>Wycena indywidualna</x:v>
      </x:c>
    </x:row>
    <x:row r="18" ht="39" customHeight="1">
      <x:c r="A18" t="str">
        <x:v>B</x:v>
      </x:c>
      <x:c r="B18" s="28" t="str">
        <x:v>LAN</x:v>
      </x:c>
      <x:c r="C18" s="28" t="str">
        <x:v>S</x:v>
      </x:c>
      <x:c r="D18" s="28" t="str">
        <x:v>LAN-10</x:v>
      </x:c>
      <x:c r="E18" t="n">
        <x:v>10</x:v>
      </x:c>
      <x:c r="F18" t="n">
        <x:v>2</x:v>
      </x:c>
      <x:c r="G18" s="24" t="n">
        <x:v>39</x:v>
      </x:c>
      <x:c r="H18" s="38" t="n">
        <x:f>G18/$G$19</x:f>
        <x:v>0.5652173913043478</x:v>
      </x:c>
      <x:c r="I18" s="40" t="n">
        <x:f>G18-$G$19</x:f>
        <x:v>-30</x:v>
      </x:c>
      <x:c r="J18" s="24" t="n">
        <x:v>44</x:v>
      </x:c>
      <x:c r="K18" s="18" t="str">
        <x:v>Dostęp standardowy</x:v>
      </x:c>
      <x:c r="L18" s="18" t="str">
        <x:v>Prędkość już istnieje, cena proponowana</x:v>
      </x:c>
      <x:c r="M18" s="88" t="str">
        <x:v>Wycena indywidualna</x:v>
      </x:c>
    </x:row>
    <x:row r="19" ht="39" customHeight="1">
      <x:c r="A19" t="str">
        <x:v>B</x:v>
      </x:c>
      <x:c r="B19" s="28" t="str">
        <x:v>LAN</x:v>
      </x:c>
      <x:c r="C19" s="28" t="str">
        <x:v>M</x:v>
      </x:c>
      <x:c r="D19" s="28" t="str">
        <x:v>LAN-20</x:v>
      </x:c>
      <x:c r="E19" t="n">
        <x:v>20</x:v>
      </x:c>
      <x:c r="F19" t="n">
        <x:v>2</x:v>
      </x:c>
      <x:c r="G19" s="24" t="n">
        <x:v>69</x:v>
      </x:c>
      <x:c r="H19" s="38" t="n">
        <x:f>G19/$G$19</x:f>
        <x:v>1</x:v>
      </x:c>
      <x:c r="I19" s="40" t="n">
        <x:f>G19-$G$19</x:f>
        <x:v>0</x:v>
      </x:c>
      <x:c r="J19" s="24" t="n">
        <x:v>74</x:v>
      </x:c>
      <x:c r="K19" s="18" t="str">
        <x:v>Dostęp standardowy</x:v>
      </x:c>
      <x:c r="L19" s="18" t="str">
        <x:v>Prędkość już istnieje, cena proponowana</x:v>
      </x:c>
      <x:c r="M19" s="88" t="str">
        <x:v>Wycena indywidualna</x:v>
      </x:c>
    </x:row>
    <x:row r="20" ht="39" customHeight="1">
      <x:c r="A20" t="str">
        <x:v>B</x:v>
      </x:c>
      <x:c r="B20" s="28" t="str">
        <x:v>LAN</x:v>
      </x:c>
      <x:c r="C20" s="28" t="str">
        <x:v>L</x:v>
      </x:c>
      <x:c r="D20" s="28" t="str">
        <x:v>LAN-40</x:v>
      </x:c>
      <x:c r="E20" t="n">
        <x:v>40</x:v>
      </x:c>
      <x:c r="F20" t="n">
        <x:v>5</x:v>
      </x:c>
      <x:c r="G20" s="24" t="n">
        <x:v>89</x:v>
      </x:c>
      <x:c r="H20" s="38" t="n">
        <x:f>G20/$G$19</x:f>
        <x:v>1.289855072463768</x:v>
      </x:c>
      <x:c r="I20" s="40" t="n">
        <x:f>G20-$G$19</x:f>
        <x:v>20</x:v>
      </x:c>
      <x:c r="J20" s="24" t="n">
        <x:v>94</x:v>
      </x:c>
      <x:c r="K20" s="18" t="str">
        <x:v>Dostęp standardowy</x:v>
      </x:c>
      <x:c r="L20" s="18" t="str">
        <x:v>Prędkość już istnieje, cena proponowana</x:v>
      </x:c>
      <x:c r="M20" s="88" t="str">
        <x:v>Wycena indywidualna</x:v>
      </x:c>
    </x:row>
    <x:row r="21" ht="39" customHeight="1">
      <x:c r="A21" t="str">
        <x:v>B</x:v>
      </x:c>
      <x:c r="B21" s="28" t="str">
        <x:v>LAN</x:v>
      </x:c>
      <x:c r="C21" s="35" t="str">
        <x:v>VIP</x:v>
      </x:c>
      <x:c r="D21" s="28" t="str">
        <x:v>LAN-80</x:v>
      </x:c>
      <x:c r="E21" t="n">
        <x:v>80</x:v>
      </x:c>
      <x:c r="F21" t="n">
        <x:v>10</x:v>
      </x:c>
      <x:c r="G21" s="24" t="n">
        <x:v>159</x:v>
      </x:c>
      <x:c r="H21" s="38" t="n">
        <x:f>G21/$G$19</x:f>
        <x:v>2.3043478260869565</x:v>
      </x:c>
      <x:c r="I21" s="40" t="n">
        <x:f>G21-$G$19</x:f>
        <x:v>90</x:v>
      </x:c>
      <x:c r="J21" s="24" t="n">
        <x:v>164</x:v>
      </x:c>
      <x:c r="K21" s="18" t="str">
        <x:v>Prędkość + realne świadczenia VIP DO POTWIERDZENIA</x:v>
      </x:c>
      <x:c r="L21" s="18" t="str">
        <x:v>VIP wymaga faktycznie dodatkowej wartości</x:v>
      </x:c>
      <x:c r="M21" s="88" t="str">
        <x:v>Wycena indywidualna</x:v>
      </x:c>
    </x:row>
    <x:row r="22" ht="39" customHeight="1">
      <x:c r="A22" t="str">
        <x:v>B</x:v>
      </x:c>
      <x:c r="B22" s="26" t="str">
        <x:v>AIR</x:v>
      </x:c>
      <x:c r="C22" s="26" t="str">
        <x:v>S</x:v>
      </x:c>
      <x:c r="D22" s="26" t="str">
        <x:v>AIR-10</x:v>
      </x:c>
      <x:c r="E22" t="n">
        <x:v>10</x:v>
      </x:c>
      <x:c r="F22" t="n">
        <x:v>2</x:v>
      </x:c>
      <x:c r="G22" s="24" t="n">
        <x:v>49</x:v>
      </x:c>
      <x:c r="H22" s="38" t="n">
        <x:f>G22/$G$23</x:f>
        <x:v>0.5833333333333334</x:v>
      </x:c>
      <x:c r="I22" s="40" t="n">
        <x:f>G22-$G$23</x:f>
        <x:v>-35</x:v>
      </x:c>
      <x:c r="J22" s="24" t="n">
        <x:v>54</x:v>
      </x:c>
      <x:c r="K22" s="18" t="str">
        <x:v>Dostęp standardowy</x:v>
      </x:c>
      <x:c r="L22" s="18" t="str">
        <x:v>Prędkość już istnieje, cena proponowana</x:v>
      </x:c>
      <x:c r="M22" s="88" t="str">
        <x:v>Wycena indywidualna</x:v>
      </x:c>
    </x:row>
    <x:row r="23" ht="39" customHeight="1">
      <x:c r="A23" t="str">
        <x:v>B</x:v>
      </x:c>
      <x:c r="B23" s="26" t="str">
        <x:v>AIR</x:v>
      </x:c>
      <x:c r="C23" s="26" t="str">
        <x:v>M</x:v>
      </x:c>
      <x:c r="D23" s="26" t="str">
        <x:v>AIR-20</x:v>
      </x:c>
      <x:c r="E23" t="n">
        <x:v>20</x:v>
      </x:c>
      <x:c r="F23" t="n">
        <x:v>2</x:v>
      </x:c>
      <x:c r="G23" s="24" t="n">
        <x:v>84</x:v>
      </x:c>
      <x:c r="H23" s="38" t="n">
        <x:f>G23/$G$23</x:f>
        <x:v>1</x:v>
      </x:c>
      <x:c r="I23" s="40" t="n">
        <x:f>G23-$G$23</x:f>
        <x:v>0</x:v>
      </x:c>
      <x:c r="J23" s="24" t="n">
        <x:v>89</x:v>
      </x:c>
      <x:c r="K23" s="18" t="str">
        <x:v>Dostęp standardowy</x:v>
      </x:c>
      <x:c r="L23" s="18" t="str">
        <x:v>Prędkość już istnieje, cena proponowana</x:v>
      </x:c>
      <x:c r="M23" s="88" t="str">
        <x:v>Wycena indywidualna</x:v>
      </x:c>
    </x:row>
    <x:row r="24" ht="39" customHeight="1">
      <x:c r="A24" t="str">
        <x:v>B</x:v>
      </x:c>
      <x:c r="B24" s="26" t="str">
        <x:v>AIR</x:v>
      </x:c>
      <x:c r="C24" s="26" t="str">
        <x:v>L</x:v>
      </x:c>
      <x:c r="D24" s="26" t="str">
        <x:v>AIR-40</x:v>
      </x:c>
      <x:c r="E24" t="n">
        <x:v>40</x:v>
      </x:c>
      <x:c r="F24" t="n">
        <x:v>5</x:v>
      </x:c>
      <x:c r="G24" s="24" t="n">
        <x:v>109</x:v>
      </x:c>
      <x:c r="H24" s="38" t="n">
        <x:f>G24/$G$23</x:f>
        <x:v>1.2976190476190477</x:v>
      </x:c>
      <x:c r="I24" s="40" t="n">
        <x:f>G24-$G$23</x:f>
        <x:v>25</x:v>
      </x:c>
      <x:c r="J24" s="24" t="n">
        <x:v>114</x:v>
      </x:c>
      <x:c r="K24" s="18" t="str">
        <x:v>Dostęp standardowy</x:v>
      </x:c>
      <x:c r="L24" s="18" t="str">
        <x:v>Prędkość już istnieje, cena proponowana</x:v>
      </x:c>
      <x:c r="M24" s="88" t="str">
        <x:v>Wycena indywidualna</x:v>
      </x:c>
    </x:row>
    <x:row r="25" ht="39" customHeight="1">
      <x:c r="A25" t="str">
        <x:v>B</x:v>
      </x:c>
      <x:c r="B25" s="26" t="str">
        <x:v>AIR</x:v>
      </x:c>
      <x:c r="C25" s="35" t="str">
        <x:v>VIP</x:v>
      </x:c>
      <x:c r="D25" s="26" t="str">
        <x:v>AIR-80</x:v>
      </x:c>
      <x:c r="E25" t="n">
        <x:v>80</x:v>
      </x:c>
      <x:c r="F25" t="n">
        <x:v>10</x:v>
      </x:c>
      <x:c r="G25" s="24" t="n">
        <x:v>199</x:v>
      </x:c>
      <x:c r="H25" s="38" t="n">
        <x:f>G25/$G$23</x:f>
        <x:v>2.369047619047619</x:v>
      </x:c>
      <x:c r="I25" s="40" t="n">
        <x:f>G25-$G$23</x:f>
        <x:v>115</x:v>
      </x:c>
      <x:c r="J25" s="24" t="n">
        <x:v>204</x:v>
      </x:c>
      <x:c r="K25" s="18" t="str">
        <x:v>Prędkość + realne świadczenia VIP DO POTWIERDZENIA</x:v>
      </x:c>
      <x:c r="L25" s="18" t="str">
        <x:v>VIP wymaga faktycznie dodatkowej wartości</x:v>
      </x:c>
      <x:c r="M25" s="88" t="str">
        <x:v>Wycena indywidualna</x:v>
      </x:c>
    </x:row>
    <x:row r="26" ht="39" customHeight="1">
      <x:c r="A26" t="str">
        <x:v>B</x:v>
      </x:c>
      <x:c r="B26" s="30" t="str">
        <x:v>FIBER</x:v>
      </x:c>
      <x:c r="C26" s="30" t="str">
        <x:v>S</x:v>
      </x:c>
      <x:c r="D26" s="30" t="str">
        <x:v>FIBER-50</x:v>
      </x:c>
      <x:c r="E26" t="n">
        <x:v>50</x:v>
      </x:c>
      <x:c r="F26" t="n">
        <x:v>20</x:v>
      </x:c>
      <x:c r="G26" s="24" t="n">
        <x:v>39</x:v>
      </x:c>
      <x:c r="H26" s="38" t="n">
        <x:f>G26/$G$27</x:f>
        <x:v>0.5652173913043478</x:v>
      </x:c>
      <x:c r="I26" s="40" t="n">
        <x:f>G26-$G$27</x:f>
        <x:v>-30</x:v>
      </x:c>
      <x:c r="J26" s="24" t="str">
        <x:v>NIEDOSTĘPNE</x:v>
      </x:c>
      <x:c r="K26" s="18" t="str">
        <x:v>Dostęp standardowy</x:v>
      </x:c>
      <x:c r="L26" s="18" t="str">
        <x:v>Prędkość już istnieje, cena proponowana</x:v>
      </x:c>
      <x:c r="M26" s="88" t="str">
        <x:v>Wycena indywidualna</x:v>
      </x:c>
    </x:row>
    <x:row r="27" ht="39" customHeight="1">
      <x:c r="A27" t="str">
        <x:v>B</x:v>
      </x:c>
      <x:c r="B27" s="30" t="str">
        <x:v>FIBER</x:v>
      </x:c>
      <x:c r="C27" s="30" t="str">
        <x:v>M</x:v>
      </x:c>
      <x:c r="D27" s="30" t="str">
        <x:v>FIBER-100</x:v>
      </x:c>
      <x:c r="E27" t="n">
        <x:v>100</x:v>
      </x:c>
      <x:c r="F27" t="n">
        <x:v>40</x:v>
      </x:c>
      <x:c r="G27" s="24" t="n">
        <x:v>69</x:v>
      </x:c>
      <x:c r="H27" s="38" t="n">
        <x:f>G27/$G$27</x:f>
        <x:v>1</x:v>
      </x:c>
      <x:c r="I27" s="40" t="n">
        <x:f>G27-$G$27</x:f>
        <x:v>0</x:v>
      </x:c>
      <x:c r="J27" s="24" t="str">
        <x:v>NIEDOSTĘPNE</x:v>
      </x:c>
      <x:c r="K27" s="18" t="str">
        <x:v>Dostęp standardowy</x:v>
      </x:c>
      <x:c r="L27" s="18" t="str">
        <x:v>Prędkość już istnieje, cena proponowana</x:v>
      </x:c>
      <x:c r="M27" s="88" t="str">
        <x:v>Wycena indywidualna</x:v>
      </x:c>
    </x:row>
    <x:row r="28" ht="39" customHeight="1">
      <x:c r="A28" t="str">
        <x:v>B</x:v>
      </x:c>
      <x:c r="B28" s="30" t="str">
        <x:v>FIBER</x:v>
      </x:c>
      <x:c r="C28" s="30" t="str">
        <x:v>L</x:v>
      </x:c>
      <x:c r="D28" s="30" t="str">
        <x:v>FIBER-300</x:v>
      </x:c>
      <x:c r="E28" t="n">
        <x:v>300</x:v>
      </x:c>
      <x:c r="F28" t="n">
        <x:v>80</x:v>
      </x:c>
      <x:c r="G28" s="24" t="n">
        <x:v>89</x:v>
      </x:c>
      <x:c r="H28" s="38" t="n">
        <x:f>G28/$G$27</x:f>
        <x:v>1.289855072463768</x:v>
      </x:c>
      <x:c r="I28" s="40" t="n">
        <x:f>G28-$G$27</x:f>
        <x:v>20</x:v>
      </x:c>
      <x:c r="J28" s="24" t="str">
        <x:v>NIEDOSTĘPNE</x:v>
      </x:c>
      <x:c r="K28" s="18" t="str">
        <x:v>Dostęp standardowy</x:v>
      </x:c>
      <x:c r="L28" s="18" t="str">
        <x:v>Prędkość już istnieje, cena proponowana</x:v>
      </x:c>
      <x:c r="M28" s="88" t="str">
        <x:v>Wycena indywidualna</x:v>
      </x:c>
    </x:row>
    <x:row r="29" ht="39" customHeight="1">
      <x:c r="A29" t="str">
        <x:v>B</x:v>
      </x:c>
      <x:c r="B29" s="30" t="str">
        <x:v>FIBER</x:v>
      </x:c>
      <x:c r="C29" s="35" t="str">
        <x:v>VIP</x:v>
      </x:c>
      <x:c r="D29" s="30" t="str">
        <x:v>FIBER-600*</x:v>
      </x:c>
      <x:c r="E29" t="n">
        <x:v>600</x:v>
      </x:c>
      <x:c r="F29"/>
      <x:c r="G29" s="24" t="n">
        <x:v>169</x:v>
      </x:c>
      <x:c r="H29" s="38" t="n">
        <x:f>G29/$G$27</x:f>
        <x:v>2.449275362318841</x:v>
      </x:c>
      <x:c r="I29" s="40" t="n">
        <x:f>G29-$G$27</x:f>
        <x:v>100</x:v>
      </x:c>
      <x:c r="J29" s="24" t="str">
        <x:v>NIEDOSTĘPNE</x:v>
      </x:c>
      <x:c r="K29" s="18" t="str">
        <x:v>Prędkość + realne świadczenia VIP DO POTWIERDZENIA</x:v>
      </x:c>
      <x:c r="L29" s="18" t="str">
        <x:v>600 Mb/s = tylko hipoteza</x:v>
      </x:c>
      <x:c r="M29" s="88" t="str">
        <x:v>Wycena indywidualna</x:v>
      </x:c>
    </x:row>
  </x:sheetData>
  <x:mergeCells>
    <x:mergeCell ref="A1:L2"/>
    <x:mergeCell ref="A3:L3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0" hidden="0" customWidth="1"/>
    <x:col min="2" max="2" width="20" hidden="0" customWidth="1"/>
    <x:col min="3" max="3" width="56" hidden="0" customWidth="1"/>
    <x:col min="4" max="4" width="46" hidden="0" customWidth="1"/>
    <x:col min="5" max="5" width="18" hidden="0" customWidth="1"/>
    <x:col min="6" max="6" width="23" hidden="0" customWidth="1"/>
    <x:col min="7" max="7" width="42" hidden="0" customWidth="1"/>
  </x:cols>
  <x:sheetData>
    <x:row r="1" ht="36" customHeight="1">
      <x:c r="A1" s="4" t="str">
        <x:v>DECYZJE DO ZATWIERDZENIA  |  MAD-NET</x:v>
      </x:c>
      <x:c r="B1" s="4"/>
      <x:c r="C1" s="4"/>
      <x:c r="D1" s="4"/>
      <x:c r="E1" s="4"/>
      <x:c r="F1" s="4"/>
      <x:c r="G1" s="4"/>
    </x:row>
    <x:row r="2" ht="36" customHeight="1">
      <x:c r="A2" s="4"/>
      <x:c r="B2" s="4"/>
      <x:c r="C2" s="4"/>
      <x:c r="D2" s="4"/>
      <x:c r="E2" s="4"/>
      <x:c r="F2" s="4"/>
      <x:c r="G2" s="4"/>
    </x:row>
    <x:row r="4" ht="30" customHeight="1">
      <x:c r="A4" s="15" t="str">
        <x:v>ID</x:v>
      </x:c>
      <x:c r="B4" s="15" t="str">
        <x:v>TEMAT</x:v>
      </x:c>
      <x:c r="C4" s="15" t="str">
        <x:v>PYTANIE / WARUNEK</x:v>
      </x:c>
      <x:c r="D4" s="15" t="str">
        <x:v>SUGESTIA</x:v>
      </x:c>
      <x:c r="E4" s="15" t="str">
        <x:v>KRYTYCZNOŚĆ</x:v>
      </x:c>
      <x:c r="F4" s="15" t="str">
        <x:v>STATUS</x:v>
      </x:c>
      <x:c r="G4" s="15" t="str">
        <x:v>UWAGI WŁAŚCICIELA</x:v>
      </x:c>
    </x:row>
    <x:row r="5" ht="46" customHeight="1">
      <x:c r="A5" s="18" t="str">
        <x:v>01</x:v>
      </x:c>
      <x:c r="B5" s="18" t="str">
        <x:v>Technologie</x:v>
      </x:c>
      <x:c r="C5" s="18" t="str">
        <x:v>Czy wszystkie LAN/AIR/FIBER przejdą na dokładnie 4 warianty?</x:v>
      </x:c>
      <x:c r="D5" s="18" t="str">
        <x:v>Tak; 12 pakietów</x:v>
      </x:c>
      <x:c r="E5" s="18" t="str">
        <x:v>KRYTYCZNA</x:v>
      </x:c>
      <x:c r="F5" s="18" t="str">
        <x:v>NIEZATWIERDZONE</x:v>
      </x:c>
      <x:c r="G5" s="18" t="str"/>
    </x:row>
    <x:row r="6" ht="46" customHeight="1">
      <x:c r="A6" s="18" t="str">
        <x:v>02</x:v>
      </x:c>
      <x:c r="B6" s="18" t="str">
        <x:v>LAN 60</x:v>
      </x:c>
      <x:c r="C6" s="18" t="str">
        <x:v>Co z dotychczasowym LAN-60 po konsolidacji?</x:v>
      </x:c>
      <x:c r="D6" s="18" t="str">
        <x:v>Zachować w legacy dla bieżących klientów</x:v>
      </x:c>
      <x:c r="E6" s="18" t="str">
        <x:v>KRYTYCZNA</x:v>
      </x:c>
      <x:c r="F6" s="18" t="str">
        <x:v>NIEZATWIERDZONE</x:v>
      </x:c>
      <x:c r="G6" s="18" t="str"/>
    </x:row>
    <x:row r="7" ht="46" customHeight="1">
      <x:c r="A7" s="18" t="str">
        <x:v>03</x:v>
      </x:c>
      <x:c r="B7" s="18" t="str">
        <x:v>AIR 60</x:v>
      </x:c>
      <x:c r="C7" s="18" t="str">
        <x:v>Co z dotychczasowym AIR-60?</x:v>
      </x:c>
      <x:c r="D7" s="18" t="str">
        <x:v>Zachować w legacy dla bieżących klientów</x:v>
      </x:c>
      <x:c r="E7" s="18" t="str">
        <x:v>KRYTYCZNA</x:v>
      </x:c>
      <x:c r="F7" s="18" t="str">
        <x:v>NIEZATWIERDZONE</x:v>
      </x:c>
      <x:c r="G7" s="18" t="str"/>
    </x:row>
    <x:row r="8" ht="46" customHeight="1">
      <x:c r="A8" s="18" t="str">
        <x:v>04</x:v>
      </x:c>
      <x:c r="B8" s="18" t="str">
        <x:v>FIBER 600</x:v>
      </x:c>
      <x:c r="C8" s="18" t="str">
        <x:v>Czy sieć i CPE faktycznie umożliwiają 600 Mb/s?</x:v>
      </x:c>
      <x:c r="D8" s="18" t="str">
        <x:v>NIE PUBLIKOWAĆ bez pomiarów</x:v>
      </x:c>
      <x:c r="E8" s="18" t="str">
        <x:v>KRYTYCZNA</x:v>
      </x:c>
      <x:c r="F8" s="18" t="str">
        <x:v>NIEZATWIERDZONE</x:v>
      </x:c>
      <x:c r="G8" s="18" t="str"/>
    </x:row>
    <x:row r="9" ht="46" customHeight="1">
      <x:c r="A9" s="18" t="str">
        <x:v>05</x:v>
      </x:c>
      <x:c r="B9" s="18" t="str">
        <x:v>Upload VIP</x:v>
      </x:c>
      <x:c r="C9" s="18" t="str">
        <x:v>Jaka będzie prędkość wysyłania FIBER VIP?</x:v>
      </x:c>
      <x:c r="D9" s="18" t="str">
        <x:v>Do potwierdzenia technicznego</x:v>
      </x:c>
      <x:c r="E9" s="18" t="str">
        <x:v>KRYTYCZNA</x:v>
      </x:c>
      <x:c r="F9" s="18" t="str">
        <x:v>NIEZATWIERDZONE</x:v>
      </x:c>
      <x:c r="G9" s="18" t="str"/>
    </x:row>
    <x:row r="10" ht="46" customHeight="1">
      <x:c r="A10" s="18" t="str">
        <x:v>06</x:v>
      </x:c>
      <x:c r="B10" s="18" t="str">
        <x:v>VIP</x:v>
      </x:c>
      <x:c r="C10" s="18" t="str">
        <x:v>Jakie konkretne dodatki dają pakiety VIP?</x:v>
      </x:c>
      <x:c r="D10" s="18" t="str">
        <x:v>Stały IP / serwis tylko jeśli możliwe</x:v>
      </x:c>
      <x:c r="E10" s="18" t="str">
        <x:v>KRYTYCZNA</x:v>
      </x:c>
      <x:c r="F10" s="18" t="str">
        <x:v>NIEZATWIERDZONE</x:v>
      </x:c>
      <x:c r="G10" s="18" t="str"/>
    </x:row>
    <x:row r="11" ht="46" customHeight="1">
      <x:c r="A11" s="18" t="str">
        <x:v>07</x:v>
      </x:c>
      <x:c r="B11" s="18" t="str">
        <x:v>SLA</x:v>
      </x:c>
      <x:c r="C11" s="18" t="str">
        <x:v>Czy możliwe umowne czasy reakcji i obsługa priorytetowa?</x:v>
      </x:c>
      <x:c r="D11" s="18" t="str">
        <x:v>Nie deklarować bez procedur i kosztorysu</x:v>
      </x:c>
      <x:c r="E11" s="18" t="str">
        <x:v>KRYTYCZNA</x:v>
      </x:c>
      <x:c r="F11" s="18" t="str">
        <x:v>NIEZATWIERDZONE</x:v>
      </x:c>
      <x:c r="G11" s="18" t="str"/>
    </x:row>
    <x:row r="12" ht="46" customHeight="1">
      <x:c r="A12" s="18" t="str">
        <x:v>08</x:v>
      </x:c>
      <x:c r="B12" s="18" t="str">
        <x:v>Ceny</x:v>
      </x:c>
      <x:c r="C12" s="18" t="str">
        <x:v>Który model cen wybiera właściciel?</x:v>
      </x:c>
      <x:c r="D12" s="18" t="str">
        <x:v>A jako punkt wyjścia</x:v>
      </x:c>
      <x:c r="E12" s="18" t="str">
        <x:v>KRYTYCZNA</x:v>
      </x:c>
      <x:c r="F12" s="18" t="str">
        <x:v>NIEZATWIERDZONE</x:v>
      </x:c>
      <x:c r="G12" s="18" t="str"/>
    </x:row>
    <x:row r="13" ht="46" customHeight="1">
      <x:c r="A13" s="18" t="str">
        <x:v>09</x:v>
      </x:c>
      <x:c r="B13" s="18" t="str">
        <x:v>VAT</x:v>
      </x:c>
      <x:c r="C13" s="18" t="str">
        <x:v>Czy w cenniku potwierdzono kwoty brutto?</x:v>
      </x:c>
      <x:c r="D13" s="18" t="str">
        <x:v>Wyraźnie podać zasady cen</x:v>
      </x:c>
      <x:c r="E13" s="18" t="str">
        <x:v>WYSOKA</x:v>
      </x:c>
      <x:c r="F13" s="18" t="str">
        <x:v>NIEZATWIERDZONE</x:v>
      </x:c>
      <x:c r="G13" s="18" t="str"/>
    </x:row>
    <x:row r="14" ht="46" customHeight="1">
      <x:c r="A14" s="18" t="str">
        <x:v>10</x:v>
      </x:c>
      <x:c r="B14" s="18" t="str">
        <x:v>FIBER 12 mies.</x:v>
      </x:c>
      <x:c r="C14" s="18" t="str">
        <x:v>Czy FIBER ma opcję umowy na 12 miesięcy?</x:v>
      </x:c>
      <x:c r="D14" s="18" t="str">
        <x:v>NIE — oferowane są tylko 24 m-ce i bezterminowo</x:v>
      </x:c>
      <x:c r="E14" s="18" t="str">
        <x:v>WYSOKA</x:v>
      </x:c>
      <x:c r="F14" s="18" t="str">
        <x:v>POTWIERDZONE</x:v>
      </x:c>
      <x:c r="G14" s="18" t="str"/>
    </x:row>
    <x:row r="15" ht="46" customHeight="1">
      <x:c r="A15" s="18" t="str">
        <x:v>11</x:v>
      </x:c>
      <x:c r="B15" s="18" t="str">
        <x:v>Umowy 36 m-cy</x:v>
      </x:c>
      <x:c r="C15" s="18" t="str">
        <x:v>Czy dodać umowę 36 miesięcy dla konsumentów?</x:v>
      </x:c>
      <x:c r="D15" s="18" t="str">
        <x:v>NIE – art. 301 PKE max 24 mies.</x:v>
      </x:c>
      <x:c r="E15" s="18" t="str">
        <x:v>KRYTYCZNA</x:v>
      </x:c>
      <x:c r="F15" s="18" t="str">
        <x:v>OGRANICZENIE PRAWNE</x:v>
      </x:c>
      <x:c r="G15" s="18" t="str"/>
    </x:row>
    <x:row r="16" ht="46" customHeight="1">
      <x:c r="A16" s="18" t="str">
        <x:v>12</x:v>
      </x:c>
      <x:c r="B16" s="18" t="str">
        <x:v>Migracja</x:v>
      </x:c>
      <x:c r="C16" s="18" t="str">
        <x:v>Czy obecne umowy pozostają na starych stawkach?</x:v>
      </x:c>
      <x:c r="D16" s="18" t="str">
        <x:v>Nie zmieniać automatycznie</x:v>
      </x:c>
      <x:c r="E16" s="18" t="str">
        <x:v>KRYTYCZNA</x:v>
      </x:c>
      <x:c r="F16" s="18" t="str">
        <x:v>NIEZATWIERDZONE</x:v>
      </x:c>
      <x:c r="G16" s="18" t="str"/>
    </x:row>
    <x:row r="17" ht="46" customHeight="1">
      <x:c r="A17" s="18" t="str">
        <x:v>13</x:v>
      </x:c>
      <x:c r="B17" s="18" t="str">
        <x:v>Dopłaty</x:v>
      </x:c>
      <x:c r="C17" s="18" t="str">
        <x:v>Czy koszt instalacji i urządzeń jest w cenie?</x:v>
      </x:c>
      <x:c r="D17" s="18" t="str">
        <x:v>Pokaż dokładnie w ofercie</x:v>
      </x:c>
      <x:c r="E17" s="18" t="str">
        <x:v>WYSOKA</x:v>
      </x:c>
      <x:c r="F17" s="18" t="str">
        <x:v>NIEZATWIERDZONE</x:v>
      </x:c>
      <x:c r="G17" s="18" t="str"/>
    </x:row>
    <x:row r="18" ht="46" customHeight="1">
      <x:c r="A18" s="18" t="str">
        <x:v>14</x:v>
      </x:c>
      <x:c r="B18" s="18" t="str">
        <x:v>RACK</x:v>
      </x:c>
      <x:c r="C18" s="18" t="str">
        <x:v>Czy szafa ma fizycznie 4 porty LAN i FIBER oraz 4 AIR?</x:v>
      </x:c>
      <x:c r="D18" s="18" t="str">
        <x:v>4/4/4, odzwierciedlić dane</x:v>
      </x:c>
      <x:c r="E18" s="18" t="str">
        <x:v>WYSOKA</x:v>
      </x:c>
      <x:c r="F18" s="18" t="str">
        <x:v>DO IMPLEMENTACJI</x:v>
      </x:c>
      <x:c r="G18" s="18" t="str"/>
    </x:row>
    <x:row r="19" ht="46" customHeight="1">
      <x:c r="A19" s="18" t="str">
        <x:v>15</x:v>
      </x:c>
      <x:c r="B19" s="18" t="str">
        <x:v>Perspektywa</x:v>
      </x:c>
      <x:c r="C19" s="18" t="str">
        <x:v>Panel FIBER ma tilt/panning zgodny z urządzeniem?</x:v>
      </x:c>
      <x:c r="D19" s="18" t="str">
        <x:v>SVG transform dopasowany do 3D</x:v>
      </x:c>
      <x:c r="E19" s="18" t="str">
        <x:v>WYSOKA</x:v>
      </x:c>
      <x:c r="F19" s="18" t="str">
        <x:v>DO IMPLEMENTACJI</x:v>
      </x:c>
      <x:c r="G19" s="18" t="str"/>
    </x:row>
    <x:row r="20" ht="46" customHeight="1">
      <x:c r="A20" s="18" t="str">
        <x:v>16</x:v>
      </x:c>
      <x:c r="B20" s="18" t="str">
        <x:v>Wdrożenie</x:v>
      </x:c>
      <x:c r="C20" s="18" t="str">
        <x:v>Czy można publikować nową ofertę na main?</x:v>
      </x:c>
      <x:c r="D20" s="18" t="str">
        <x:v>Dopiero po pisemnej akceptacji</x:v>
      </x:c>
      <x:c r="E20" s="18" t="str">
        <x:v>KRYTYCZNA</x:v>
      </x:c>
      <x:c r="F20" s="18" t="str">
        <x:v>NIEZATWIERDZONE</x:v>
      </x:c>
      <x:c r="G20" s="18" t="str"/>
    </x:row>
  </x:sheetData>
  <x:mergeCells>
    <x:mergeCell ref="A1:G2"/>
  </x:mergeCells>
  <x:dataValidations count="1">
    <x:dataValidation type="list" sqref="F5:F20">
      <x:formula1>"NIEZATWIERDZONE,DO IMPLEMENTACJI,ZATWIERDZONE,ODRZUCONE,OGRANICZENIE PRAWNE"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15" hidden="0" customWidth="1"/>
    <x:col min="2" max="2" width="10" hidden="0" customWidth="1"/>
    <x:col min="3" max="3" width="17" hidden="0" customWidth="1"/>
    <x:col min="4" max="4" width="13" hidden="0" customWidth="1"/>
    <x:col min="5" max="5" width="13" hidden="0" customWidth="1"/>
    <x:col min="6" max="6" width="18" hidden="0" customWidth="1"/>
    <x:col min="7" max="7" width="18" hidden="0" customWidth="1"/>
    <x:col min="8" max="8" width="18" hidden="0" customWidth="1"/>
    <x:col min="9" max="9" width="24" hidden="0" customWidth="1"/>
    <x:col min="10" max="10" width="48" hidden="0" customWidth="1"/>
  </x:cols>
  <x:sheetData>
    <x:row r="1" ht="40" customHeight="1">
      <x:c r="A1" s="49" t="str">
        <x:v>MAD-NET  /  PORÓWNANIE UMÓW — 4 PAKIETY × 3 TECHNOLOGIE</x:v>
      </x:c>
      <x:c r="B1" s="49"/>
      <x:c r="C1" s="49"/>
      <x:c r="D1" s="49"/>
      <x:c r="E1" s="49"/>
      <x:c r="F1" s="49"/>
      <x:c r="G1" s="49"/>
      <x:c r="H1" s="49"/>
      <x:c r="I1" s="49"/>
      <x:c r="J1" s="49"/>
    </x:row>
    <x:row r="2" ht="29" customHeight="1">
      <x:c r="A2" s="51" t="str">
        <x:v>PROPOZYCJE DO OMÓWIENIA • ceny miesięczne w zł • FIBER tylko 24 miesiące + bezterminowo</x:v>
      </x:c>
      <x:c r="B2" s="51"/>
      <x:c r="C2" s="51"/>
      <x:c r="D2" s="51"/>
      <x:c r="E2" s="51"/>
      <x:c r="F2" s="51"/>
      <x:c r="G2" s="51"/>
      <x:c r="H2" s="51"/>
      <x:c r="I2" s="51"/>
      <x:c r="J2" s="51"/>
    </x:row>
    <x:row r="3" ht="24" customHeight="1">
      <x:c r="A3" s="47"/>
      <x:c r="B3" s="47"/>
      <x:c r="C3" s="47"/>
      <x:c r="D3" s="47"/>
      <x:c r="E3" s="47"/>
      <x:c r="F3" s="47"/>
      <x:c r="G3" s="47"/>
      <x:c r="H3" s="47"/>
      <x:c r="I3" s="47"/>
      <x:c r="J3" s="47"/>
    </x:row>
    <x:row r="4" ht="32" customHeight="1">
      <x:c r="A4" s="53" t="str">
        <x:v>MODEL A  /  EWOLUCYJNY — rekomendowany punkt wyjścia</x:v>
      </x:c>
      <x:c r="B4" s="53"/>
      <x:c r="C4" s="53"/>
      <x:c r="D4" s="53"/>
      <x:c r="E4" s="53"/>
      <x:c r="F4" s="53"/>
      <x:c r="G4" s="53"/>
      <x:c r="H4" s="53"/>
      <x:c r="I4" s="53"/>
      <x:c r="J4" s="53"/>
    </x:row>
    <x:row r="5" ht="32" customHeight="1">
      <x:c r="A5" s="58" t="str">
        <x:v>TECHNOLOGIA</x:v>
      </x:c>
      <x:c r="B5" s="58" t="str">
        <x:v>POZIOM</x:v>
      </x:c>
      <x:c r="C5" s="58" t="str">
        <x:v>PAKIET</x:v>
      </x:c>
      <x:c r="D5" s="58" t="str">
        <x:v>↓ Mb/s</x:v>
      </x:c>
      <x:c r="E5" s="58" t="str">
        <x:v>↑ Mb/s</x:v>
      </x:c>
      <x:c r="F5" s="58" t="str">
        <x:v>24 MIES. zł/mies.</x:v>
      </x:c>
      <x:c r="G5" s="58" t="str">
        <x:v>12 MIES. zł/mies.</x:v>
      </x:c>
      <x:c r="H5" s="58" t="str">
        <x:v>DOPŁATA 12 M.</x:v>
      </x:c>
      <x:c r="I5" s="58" t="str">
        <x:v>BEZTERMINOWO</x:v>
      </x:c>
      <x:c r="J5" s="58" t="str">
        <x:v>UWAGI</x:v>
      </x:c>
    </x:row>
    <x:row r="6" ht="28" customHeight="1">
      <x:c r="A6" s="60" t="str">
        <x:v>LAN</x:v>
      </x:c>
      <x:c r="B6" s="61" t="str">
        <x:v>S</x:v>
      </x:c>
      <x:c r="C6" s="61" t="str">
        <x:v>LAN-10</x:v>
      </x:c>
      <x:c r="D6" s="61" t="n">
        <x:v>10</x:v>
      </x:c>
      <x:c r="E6" s="61" t="n">
        <x:v>2</x:v>
      </x:c>
      <x:c r="F6" s="79" t="n">
        <x:v>49</x:v>
      </x:c>
      <x:c r="G6" s="79" t="n">
        <x:v>54</x:v>
      </x:c>
      <x:c r="H6" s="80" t="n">
        <x:f>G6-F6</x:f>
        <x:v>5</x:v>
      </x:c>
      <x:c r="I6" s="64" t="str">
        <x:v>Wycena indywidualna</x:v>
      </x:c>
      <x:c r="J6" s="65" t="str">
        <x:v>Cena propozycja</x:v>
      </x:c>
    </x:row>
    <x:row r="7" ht="28" customHeight="1">
      <x:c r="A7" s="60" t="str">
        <x:v>LAN</x:v>
      </x:c>
      <x:c r="B7" s="66" t="str">
        <x:v>M</x:v>
      </x:c>
      <x:c r="C7" s="66" t="str">
        <x:v>LAN-20</x:v>
      </x:c>
      <x:c r="D7" s="66" t="n">
        <x:v>20</x:v>
      </x:c>
      <x:c r="E7" s="66" t="n">
        <x:v>2</x:v>
      </x:c>
      <x:c r="F7" s="81" t="n">
        <x:v>59</x:v>
      </x:c>
      <x:c r="G7" s="81" t="n">
        <x:v>64</x:v>
      </x:c>
      <x:c r="H7" s="82" t="n">
        <x:f>G7-F7</x:f>
        <x:v>5</x:v>
      </x:c>
      <x:c r="I7" s="69" t="str">
        <x:v>Wycena indywidualna</x:v>
      </x:c>
      <x:c r="J7" s="70" t="str">
        <x:v>Cena propozycja</x:v>
      </x:c>
    </x:row>
    <x:row r="8" ht="28" customHeight="1">
      <x:c r="A8" s="60" t="str">
        <x:v>LAN</x:v>
      </x:c>
      <x:c r="B8" s="61" t="str">
        <x:v>L</x:v>
      </x:c>
      <x:c r="C8" s="61" t="str">
        <x:v>LAN-40</x:v>
      </x:c>
      <x:c r="D8" s="61" t="n">
        <x:v>40</x:v>
      </x:c>
      <x:c r="E8" s="61" t="n">
        <x:v>5</x:v>
      </x:c>
      <x:c r="F8" s="79" t="n">
        <x:v>69</x:v>
      </x:c>
      <x:c r="G8" s="79" t="n">
        <x:v>74</x:v>
      </x:c>
      <x:c r="H8" s="80" t="n">
        <x:f>G8-F8</x:f>
        <x:v>5</x:v>
      </x:c>
      <x:c r="I8" s="64" t="str">
        <x:v>Wycena indywidualna</x:v>
      </x:c>
      <x:c r="J8" s="65" t="str">
        <x:v>Cena propozycja</x:v>
      </x:c>
    </x:row>
    <x:row r="9" ht="28" customHeight="1">
      <x:c r="A9" s="60" t="str">
        <x:v>LAN</x:v>
      </x:c>
      <x:c r="B9" s="66" t="str">
        <x:v>VIP</x:v>
      </x:c>
      <x:c r="C9" s="66" t="str">
        <x:v>LAN-80</x:v>
      </x:c>
      <x:c r="D9" s="66" t="n">
        <x:v>80</x:v>
      </x:c>
      <x:c r="E9" s="66" t="n">
        <x:v>10</x:v>
      </x:c>
      <x:c r="F9" s="81" t="n">
        <x:v>99</x:v>
      </x:c>
      <x:c r="G9" s="81" t="n">
        <x:v>104</x:v>
      </x:c>
      <x:c r="H9" s="82" t="n">
        <x:f>G9-F9</x:f>
        <x:v>5</x:v>
      </x:c>
      <x:c r="I9" s="69" t="str">
        <x:v>Wycena indywidualna</x:v>
      </x:c>
      <x:c r="J9" s="70" t="str">
        <x:v>VIP: zweryfikować dodatkowe świadczenia</x:v>
      </x:c>
    </x:row>
    <x:row r="10" ht="28" customHeight="1">
      <x:c r="A10" s="72" t="str">
        <x:v>AIR</x:v>
      </x:c>
      <x:c r="B10" s="61" t="str">
        <x:v>S</x:v>
      </x:c>
      <x:c r="C10" s="61" t="str">
        <x:v>AIR-10</x:v>
      </x:c>
      <x:c r="D10" s="61" t="n">
        <x:v>10</x:v>
      </x:c>
      <x:c r="E10" s="61" t="n">
        <x:v>2</x:v>
      </x:c>
      <x:c r="F10" s="79" t="n">
        <x:v>54</x:v>
      </x:c>
      <x:c r="G10" s="79" t="n">
        <x:v>59</x:v>
      </x:c>
      <x:c r="H10" s="80" t="n">
        <x:f>G10-F10</x:f>
        <x:v>5</x:v>
      </x:c>
      <x:c r="I10" s="64" t="str">
        <x:v>Wycena indywidualna</x:v>
      </x:c>
      <x:c r="J10" s="65" t="str">
        <x:v>Cena propozycja</x:v>
      </x:c>
    </x:row>
    <x:row r="11" ht="28" customHeight="1">
      <x:c r="A11" s="72" t="str">
        <x:v>AIR</x:v>
      </x:c>
      <x:c r="B11" s="66" t="str">
        <x:v>M</x:v>
      </x:c>
      <x:c r="C11" s="66" t="str">
        <x:v>AIR-20</x:v>
      </x:c>
      <x:c r="D11" s="66" t="n">
        <x:v>20</x:v>
      </x:c>
      <x:c r="E11" s="66" t="n">
        <x:v>2</x:v>
      </x:c>
      <x:c r="F11" s="81" t="n">
        <x:v>64</x:v>
      </x:c>
      <x:c r="G11" s="81" t="n">
        <x:v>69</x:v>
      </x:c>
      <x:c r="H11" s="82" t="n">
        <x:f>G11-F11</x:f>
        <x:v>5</x:v>
      </x:c>
      <x:c r="I11" s="69" t="str">
        <x:v>Wycena indywidualna</x:v>
      </x:c>
      <x:c r="J11" s="70" t="str">
        <x:v>Cena propozycja</x:v>
      </x:c>
    </x:row>
    <x:row r="12" ht="28" customHeight="1">
      <x:c r="A12" s="72" t="str">
        <x:v>AIR</x:v>
      </x:c>
      <x:c r="B12" s="61" t="str">
        <x:v>L</x:v>
      </x:c>
      <x:c r="C12" s="61" t="str">
        <x:v>AIR-40</x:v>
      </x:c>
      <x:c r="D12" s="61" t="n">
        <x:v>40</x:v>
      </x:c>
      <x:c r="E12" s="61" t="n">
        <x:v>5</x:v>
      </x:c>
      <x:c r="F12" s="79" t="n">
        <x:v>79</x:v>
      </x:c>
      <x:c r="G12" s="79" t="n">
        <x:v>84</x:v>
      </x:c>
      <x:c r="H12" s="80" t="n">
        <x:f>G12-F12</x:f>
        <x:v>5</x:v>
      </x:c>
      <x:c r="I12" s="64" t="str">
        <x:v>Wycena indywidualna</x:v>
      </x:c>
      <x:c r="J12" s="65" t="str">
        <x:v>Cena propozycja</x:v>
      </x:c>
    </x:row>
    <x:row r="13" ht="28" customHeight="1">
      <x:c r="A13" s="72" t="str">
        <x:v>AIR</x:v>
      </x:c>
      <x:c r="B13" s="66" t="str">
        <x:v>VIP</x:v>
      </x:c>
      <x:c r="C13" s="66" t="str">
        <x:v>AIR-80</x:v>
      </x:c>
      <x:c r="D13" s="66" t="n">
        <x:v>80</x:v>
      </x:c>
      <x:c r="E13" s="66" t="n">
        <x:v>10</x:v>
      </x:c>
      <x:c r="F13" s="81" t="n">
        <x:v>119</x:v>
      </x:c>
      <x:c r="G13" s="81" t="n">
        <x:v>124</x:v>
      </x:c>
      <x:c r="H13" s="82" t="n">
        <x:f>G13-F13</x:f>
        <x:v>5</x:v>
      </x:c>
      <x:c r="I13" s="69" t="str">
        <x:v>Wycena indywidualna</x:v>
      </x:c>
      <x:c r="J13" s="70" t="str">
        <x:v>VIP: zweryfikować dodatkowe świadczenia</x:v>
      </x:c>
    </x:row>
    <x:row r="14" ht="28" customHeight="1">
      <x:c r="A14" s="74" t="str">
        <x:v>FIBER</x:v>
      </x:c>
      <x:c r="B14" s="61" t="str">
        <x:v>S</x:v>
      </x:c>
      <x:c r="C14" s="61" t="str">
        <x:v>FIBER-50</x:v>
      </x:c>
      <x:c r="D14" s="61" t="n">
        <x:v>50</x:v>
      </x:c>
      <x:c r="E14" s="61" t="n">
        <x:v>20</x:v>
      </x:c>
      <x:c r="F14" s="79" t="n">
        <x:v>45</x:v>
      </x:c>
      <x:c r="G14" s="79" t="str">
        <x:v>— (niedostępne)</x:v>
      </x:c>
      <x:c r="H14" s="80" t="str">
        <x:v>—</x:v>
      </x:c>
      <x:c r="I14" s="64" t="str">
        <x:v>Wycena indywidualna</x:v>
      </x:c>
      <x:c r="J14" s="65" t="str">
        <x:v>Cena propozycja</x:v>
      </x:c>
    </x:row>
    <x:row r="15" ht="28" customHeight="1">
      <x:c r="A15" s="74" t="str">
        <x:v>FIBER</x:v>
      </x:c>
      <x:c r="B15" s="66" t="str">
        <x:v>M</x:v>
      </x:c>
      <x:c r="C15" s="66" t="str">
        <x:v>FIBER-100</x:v>
      </x:c>
      <x:c r="D15" s="66" t="n">
        <x:v>100</x:v>
      </x:c>
      <x:c r="E15" s="66" t="n">
        <x:v>40</x:v>
      </x:c>
      <x:c r="F15" s="81" t="n">
        <x:v>55</x:v>
      </x:c>
      <x:c r="G15" s="81" t="str">
        <x:v>— (niedostępne)</x:v>
      </x:c>
      <x:c r="H15" s="82" t="str">
        <x:v>—</x:v>
      </x:c>
      <x:c r="I15" s="69" t="str">
        <x:v>Wycena indywidualna</x:v>
      </x:c>
      <x:c r="J15" s="70" t="str">
        <x:v>Cena propozycja</x:v>
      </x:c>
    </x:row>
    <x:row r="16" ht="28" customHeight="1">
      <x:c r="A16" s="74" t="str">
        <x:v>FIBER</x:v>
      </x:c>
      <x:c r="B16" s="61" t="str">
        <x:v>L</x:v>
      </x:c>
      <x:c r="C16" s="61" t="str">
        <x:v>FIBER-300</x:v>
      </x:c>
      <x:c r="D16" s="61" t="n">
        <x:v>300</x:v>
      </x:c>
      <x:c r="E16" s="61" t="n">
        <x:v>80</x:v>
      </x:c>
      <x:c r="F16" s="79" t="n">
        <x:v>69</x:v>
      </x:c>
      <x:c r="G16" s="79" t="str">
        <x:v>— (niedostępne)</x:v>
      </x:c>
      <x:c r="H16" s="80" t="str">
        <x:v>—</x:v>
      </x:c>
      <x:c r="I16" s="64" t="str">
        <x:v>Wycena indywidualna</x:v>
      </x:c>
      <x:c r="J16" s="65" t="str">
        <x:v>Cena propozycja</x:v>
      </x:c>
    </x:row>
    <x:row r="17" ht="28" customHeight="1">
      <x:c r="A17" s="74" t="str">
        <x:v>FIBER</x:v>
      </x:c>
      <x:c r="B17" s="66" t="str">
        <x:v>VIP</x:v>
      </x:c>
      <x:c r="C17" s="66" t="str">
        <x:v>FIBER-600*</x:v>
      </x:c>
      <x:c r="D17" s="66" t="n">
        <x:v>600</x:v>
      </x:c>
      <x:c r="E17" s="66"/>
      <x:c r="F17" s="81" t="n">
        <x:v>109</x:v>
      </x:c>
      <x:c r="G17" s="81" t="str">
        <x:v>— (niedostępne)</x:v>
      </x:c>
      <x:c r="H17" s="82" t="str">
        <x:v>—</x:v>
      </x:c>
      <x:c r="I17" s="69" t="str">
        <x:v>Wycena indywidualna</x:v>
      </x:c>
      <x:c r="J17" s="70" t="str">
        <x:v>600 Mb/s: wyłącznie hipoteza, do weryfikacji</x:v>
      </x:c>
    </x:row>
    <x:row r="18" ht="24" customHeight="1">
      <x:c r="A18" s="47"/>
      <x:c r="B18" s="47"/>
      <x:c r="C18" s="47"/>
      <x:c r="D18" s="47"/>
      <x:c r="E18" s="47"/>
      <x:c r="F18" s="83"/>
      <x:c r="G18" s="83"/>
      <x:c r="H18" s="83"/>
      <x:c r="I18" s="47"/>
      <x:c r="J18" s="47"/>
    </x:row>
    <x:row r="19" ht="32" customHeight="1">
      <x:c r="A19" s="55" t="str">
        <x:v>MODEL B  /  PROCENTOWY — wariant porównawczy, wymaga mocniejszego uzasadnienia VIP</x:v>
      </x:c>
      <x:c r="B19" s="55"/>
      <x:c r="C19" s="55"/>
      <x:c r="D19" s="55"/>
      <x:c r="E19" s="55"/>
      <x:c r="F19" s="84"/>
      <x:c r="G19" s="84"/>
      <x:c r="H19" s="84"/>
      <x:c r="I19" s="55"/>
      <x:c r="J19" s="55"/>
    </x:row>
    <x:row r="20" ht="32" customHeight="1">
      <x:c r="A20" s="58" t="str">
        <x:v>TECHNOLOGIA</x:v>
      </x:c>
      <x:c r="B20" s="58" t="str">
        <x:v>POZIOM</x:v>
      </x:c>
      <x:c r="C20" s="58" t="str">
        <x:v>PAKIET</x:v>
      </x:c>
      <x:c r="D20" s="58" t="str">
        <x:v>↓ Mb/s</x:v>
      </x:c>
      <x:c r="E20" s="58" t="str">
        <x:v>↑ Mb/s</x:v>
      </x:c>
      <x:c r="F20" s="85" t="str">
        <x:v>24 MIES. zł/mies.</x:v>
      </x:c>
      <x:c r="G20" s="85" t="str">
        <x:v>12 MIES. zł/mies.</x:v>
      </x:c>
      <x:c r="H20" s="85" t="str">
        <x:v>DOPŁATA 12 M.</x:v>
      </x:c>
      <x:c r="I20" s="58" t="str">
        <x:v>BEZTERMINOWO</x:v>
      </x:c>
      <x:c r="J20" s="58" t="str">
        <x:v>UWAGI</x:v>
      </x:c>
    </x:row>
    <x:row r="21" ht="28" customHeight="1">
      <x:c r="A21" s="60" t="str">
        <x:v>LAN</x:v>
      </x:c>
      <x:c r="B21" s="61" t="str">
        <x:v>S</x:v>
      </x:c>
      <x:c r="C21" s="61" t="str">
        <x:v>LAN-10</x:v>
      </x:c>
      <x:c r="D21" s="61" t="n">
        <x:v>10</x:v>
      </x:c>
      <x:c r="E21" s="61" t="n">
        <x:v>2</x:v>
      </x:c>
      <x:c r="F21" s="79" t="n">
        <x:v>39</x:v>
      </x:c>
      <x:c r="G21" s="79" t="n">
        <x:v>44</x:v>
      </x:c>
      <x:c r="H21" s="80" t="n">
        <x:f>G21-F21</x:f>
        <x:v>5</x:v>
      </x:c>
      <x:c r="I21" s="64" t="str">
        <x:v>Wycena indywidualna</x:v>
      </x:c>
      <x:c r="J21" s="65" t="str">
        <x:v>Cena propozycja</x:v>
      </x:c>
    </x:row>
    <x:row r="22" ht="28" customHeight="1">
      <x:c r="A22" s="60" t="str">
        <x:v>LAN</x:v>
      </x:c>
      <x:c r="B22" s="66" t="str">
        <x:v>M</x:v>
      </x:c>
      <x:c r="C22" s="66" t="str">
        <x:v>LAN-20</x:v>
      </x:c>
      <x:c r="D22" s="66" t="n">
        <x:v>20</x:v>
      </x:c>
      <x:c r="E22" s="66" t="n">
        <x:v>2</x:v>
      </x:c>
      <x:c r="F22" s="81" t="n">
        <x:v>69</x:v>
      </x:c>
      <x:c r="G22" s="81" t="n">
        <x:v>74</x:v>
      </x:c>
      <x:c r="H22" s="82" t="n">
        <x:f>G22-F22</x:f>
        <x:v>5</x:v>
      </x:c>
      <x:c r="I22" s="69" t="str">
        <x:v>Wycena indywidualna</x:v>
      </x:c>
      <x:c r="J22" s="70" t="str">
        <x:v>Cena propozycja</x:v>
      </x:c>
    </x:row>
    <x:row r="23" ht="28" customHeight="1">
      <x:c r="A23" s="60" t="str">
        <x:v>LAN</x:v>
      </x:c>
      <x:c r="B23" s="61" t="str">
        <x:v>L</x:v>
      </x:c>
      <x:c r="C23" s="61" t="str">
        <x:v>LAN-40</x:v>
      </x:c>
      <x:c r="D23" s="61" t="n">
        <x:v>40</x:v>
      </x:c>
      <x:c r="E23" s="61" t="n">
        <x:v>5</x:v>
      </x:c>
      <x:c r="F23" s="79" t="n">
        <x:v>89</x:v>
      </x:c>
      <x:c r="G23" s="79" t="n">
        <x:v>94</x:v>
      </x:c>
      <x:c r="H23" s="80" t="n">
        <x:f>G23-F23</x:f>
        <x:v>5</x:v>
      </x:c>
      <x:c r="I23" s="64" t="str">
        <x:v>Wycena indywidualna</x:v>
      </x:c>
      <x:c r="J23" s="65" t="str">
        <x:v>Cena propozycja</x:v>
      </x:c>
    </x:row>
    <x:row r="24" ht="28" customHeight="1">
      <x:c r="A24" s="60" t="str">
        <x:v>LAN</x:v>
      </x:c>
      <x:c r="B24" s="66" t="str">
        <x:v>VIP</x:v>
      </x:c>
      <x:c r="C24" s="66" t="str">
        <x:v>LAN-80</x:v>
      </x:c>
      <x:c r="D24" s="66" t="n">
        <x:v>80</x:v>
      </x:c>
      <x:c r="E24" s="66" t="n">
        <x:v>10</x:v>
      </x:c>
      <x:c r="F24" s="81" t="n">
        <x:v>159</x:v>
      </x:c>
      <x:c r="G24" s="81" t="n">
        <x:v>164</x:v>
      </x:c>
      <x:c r="H24" s="82" t="n">
        <x:f>G24-F24</x:f>
        <x:v>5</x:v>
      </x:c>
      <x:c r="I24" s="69" t="str">
        <x:v>Wycena indywidualna</x:v>
      </x:c>
      <x:c r="J24" s="70" t="str">
        <x:v>VIP: zweryfikować dodatkowe świadczenia</x:v>
      </x:c>
    </x:row>
    <x:row r="25" ht="28" customHeight="1">
      <x:c r="A25" s="72" t="str">
        <x:v>AIR</x:v>
      </x:c>
      <x:c r="B25" s="61" t="str">
        <x:v>S</x:v>
      </x:c>
      <x:c r="C25" s="61" t="str">
        <x:v>AIR-10</x:v>
      </x:c>
      <x:c r="D25" s="61" t="n">
        <x:v>10</x:v>
      </x:c>
      <x:c r="E25" s="61" t="n">
        <x:v>2</x:v>
      </x:c>
      <x:c r="F25" s="79" t="n">
        <x:v>49</x:v>
      </x:c>
      <x:c r="G25" s="79" t="n">
        <x:v>54</x:v>
      </x:c>
      <x:c r="H25" s="80" t="n">
        <x:f>G25-F25</x:f>
        <x:v>5</x:v>
      </x:c>
      <x:c r="I25" s="64" t="str">
        <x:v>Wycena indywidualna</x:v>
      </x:c>
      <x:c r="J25" s="65" t="str">
        <x:v>Cena propozycja</x:v>
      </x:c>
    </x:row>
    <x:row r="26" ht="28" customHeight="1">
      <x:c r="A26" s="72" t="str">
        <x:v>AIR</x:v>
      </x:c>
      <x:c r="B26" s="66" t="str">
        <x:v>M</x:v>
      </x:c>
      <x:c r="C26" s="66" t="str">
        <x:v>AIR-20</x:v>
      </x:c>
      <x:c r="D26" s="66" t="n">
        <x:v>20</x:v>
      </x:c>
      <x:c r="E26" s="66" t="n">
        <x:v>2</x:v>
      </x:c>
      <x:c r="F26" s="81" t="n">
        <x:v>84</x:v>
      </x:c>
      <x:c r="G26" s="81" t="n">
        <x:v>89</x:v>
      </x:c>
      <x:c r="H26" s="82" t="n">
        <x:f>G26-F26</x:f>
        <x:v>5</x:v>
      </x:c>
      <x:c r="I26" s="69" t="str">
        <x:v>Wycena indywidualna</x:v>
      </x:c>
      <x:c r="J26" s="70" t="str">
        <x:v>Cena propozycja</x:v>
      </x:c>
    </x:row>
    <x:row r="27" ht="28" customHeight="1">
      <x:c r="A27" s="72" t="str">
        <x:v>AIR</x:v>
      </x:c>
      <x:c r="B27" s="61" t="str">
        <x:v>L</x:v>
      </x:c>
      <x:c r="C27" s="61" t="str">
        <x:v>AIR-40</x:v>
      </x:c>
      <x:c r="D27" s="61" t="n">
        <x:v>40</x:v>
      </x:c>
      <x:c r="E27" s="61" t="n">
        <x:v>5</x:v>
      </x:c>
      <x:c r="F27" s="79" t="n">
        <x:v>109</x:v>
      </x:c>
      <x:c r="G27" s="79" t="n">
        <x:v>114</x:v>
      </x:c>
      <x:c r="H27" s="80" t="n">
        <x:f>G27-F27</x:f>
        <x:v>5</x:v>
      </x:c>
      <x:c r="I27" s="64" t="str">
        <x:v>Wycena indywidualna</x:v>
      </x:c>
      <x:c r="J27" s="65" t="str">
        <x:v>Cena propozycja</x:v>
      </x:c>
    </x:row>
    <x:row r="28" ht="28" customHeight="1">
      <x:c r="A28" s="72" t="str">
        <x:v>AIR</x:v>
      </x:c>
      <x:c r="B28" s="66" t="str">
        <x:v>VIP</x:v>
      </x:c>
      <x:c r="C28" s="66" t="str">
        <x:v>AIR-80</x:v>
      </x:c>
      <x:c r="D28" s="66" t="n">
        <x:v>80</x:v>
      </x:c>
      <x:c r="E28" s="66" t="n">
        <x:v>10</x:v>
      </x:c>
      <x:c r="F28" s="81" t="n">
        <x:v>199</x:v>
      </x:c>
      <x:c r="G28" s="81" t="n">
        <x:v>204</x:v>
      </x:c>
      <x:c r="H28" s="82" t="n">
        <x:f>G28-F28</x:f>
        <x:v>5</x:v>
      </x:c>
      <x:c r="I28" s="69" t="str">
        <x:v>Wycena indywidualna</x:v>
      </x:c>
      <x:c r="J28" s="70" t="str">
        <x:v>VIP: zweryfikować dodatkowe świadczenia</x:v>
      </x:c>
    </x:row>
    <x:row r="29" ht="28" customHeight="1">
      <x:c r="A29" s="74" t="str">
        <x:v>FIBER</x:v>
      </x:c>
      <x:c r="B29" s="61" t="str">
        <x:v>S</x:v>
      </x:c>
      <x:c r="C29" s="61" t="str">
        <x:v>FIBER-50</x:v>
      </x:c>
      <x:c r="D29" s="61" t="n">
        <x:v>50</x:v>
      </x:c>
      <x:c r="E29" s="61" t="n">
        <x:v>20</x:v>
      </x:c>
      <x:c r="F29" s="79" t="n">
        <x:v>39</x:v>
      </x:c>
      <x:c r="G29" s="79" t="str">
        <x:v>— (niedostępne)</x:v>
      </x:c>
      <x:c r="H29" s="80" t="str">
        <x:v>—</x:v>
      </x:c>
      <x:c r="I29" s="64" t="str">
        <x:v>Wycena indywidualna</x:v>
      </x:c>
      <x:c r="J29" s="65" t="str">
        <x:v>Cena propozycja</x:v>
      </x:c>
    </x:row>
    <x:row r="30" ht="28" customHeight="1">
      <x:c r="A30" s="74" t="str">
        <x:v>FIBER</x:v>
      </x:c>
      <x:c r="B30" s="66" t="str">
        <x:v>M</x:v>
      </x:c>
      <x:c r="C30" s="66" t="str">
        <x:v>FIBER-100</x:v>
      </x:c>
      <x:c r="D30" s="66" t="n">
        <x:v>100</x:v>
      </x:c>
      <x:c r="E30" s="66" t="n">
        <x:v>40</x:v>
      </x:c>
      <x:c r="F30" s="81" t="n">
        <x:v>69</x:v>
      </x:c>
      <x:c r="G30" s="81" t="str">
        <x:v>— (niedostępne)</x:v>
      </x:c>
      <x:c r="H30" s="82" t="str">
        <x:v>—</x:v>
      </x:c>
      <x:c r="I30" s="69" t="str">
        <x:v>Wycena indywidualna</x:v>
      </x:c>
      <x:c r="J30" s="70" t="str">
        <x:v>Cena propozycja</x:v>
      </x:c>
    </x:row>
    <x:row r="31" ht="28" customHeight="1">
      <x:c r="A31" s="74" t="str">
        <x:v>FIBER</x:v>
      </x:c>
      <x:c r="B31" s="61" t="str">
        <x:v>L</x:v>
      </x:c>
      <x:c r="C31" s="61" t="str">
        <x:v>FIBER-300</x:v>
      </x:c>
      <x:c r="D31" s="61" t="n">
        <x:v>300</x:v>
      </x:c>
      <x:c r="E31" s="61" t="n">
        <x:v>80</x:v>
      </x:c>
      <x:c r="F31" s="79" t="n">
        <x:v>89</x:v>
      </x:c>
      <x:c r="G31" s="79" t="str">
        <x:v>— (niedostępne)</x:v>
      </x:c>
      <x:c r="H31" s="80" t="str">
        <x:v>—</x:v>
      </x:c>
      <x:c r="I31" s="64" t="str">
        <x:v>Wycena indywidualna</x:v>
      </x:c>
      <x:c r="J31" s="65" t="str">
        <x:v>Cena propozycja</x:v>
      </x:c>
    </x:row>
    <x:row r="32" ht="28" customHeight="1">
      <x:c r="A32" s="74" t="str">
        <x:v>FIBER</x:v>
      </x:c>
      <x:c r="B32" s="66" t="str">
        <x:v>VIP</x:v>
      </x:c>
      <x:c r="C32" s="66" t="str">
        <x:v>FIBER-600*</x:v>
      </x:c>
      <x:c r="D32" s="66" t="n">
        <x:v>600</x:v>
      </x:c>
      <x:c r="E32" s="66"/>
      <x:c r="F32" s="81" t="n">
        <x:v>169</x:v>
      </x:c>
      <x:c r="G32" s="81" t="str">
        <x:v>— (niedostępne)</x:v>
      </x:c>
      <x:c r="H32" s="82" t="str">
        <x:v>—</x:v>
      </x:c>
      <x:c r="I32" s="69" t="str">
        <x:v>Wycena indywidualna</x:v>
      </x:c>
      <x:c r="J32" s="70" t="str">
        <x:v>600 Mb/s: wyłącznie hipoteza, do weryfikacji</x:v>
      </x:c>
    </x:row>
    <x:row r="33" ht="24" customHeight="1">
      <x:c r="A33" s="47"/>
      <x:c r="B33" s="47"/>
      <x:c r="C33" s="47"/>
      <x:c r="D33" s="47"/>
      <x:c r="E33" s="47"/>
      <x:c r="F33" s="47"/>
      <x:c r="G33" s="47"/>
      <x:c r="H33" s="47"/>
      <x:c r="I33" s="47"/>
      <x:c r="J33" s="47"/>
    </x:row>
    <x:row r="34" ht="24" customHeight="1">
      <x:c r="A34" s="47"/>
      <x:c r="B34" s="47"/>
      <x:c r="C34" s="47"/>
      <x:c r="D34" s="47"/>
      <x:c r="E34" s="47"/>
      <x:c r="F34" s="47"/>
      <x:c r="G34" s="47"/>
      <x:c r="H34" s="47"/>
      <x:c r="I34" s="47"/>
      <x:c r="J34" s="47"/>
    </x:row>
    <x:row r="35" ht="30" customHeight="1">
      <x:c r="A35" s="76" t="str">
        <x:v>ZAŁOŻENIA I STATUS — NIE PUBLIKOWAĆ BEZ ZATWIERDZENIA WŁAŚCICIELA</x:v>
      </x:c>
      <x:c r="B35" s="76"/>
      <x:c r="C35" s="76"/>
      <x:c r="D35" s="76"/>
      <x:c r="E35" s="76"/>
      <x:c r="F35" s="76"/>
      <x:c r="G35" s="76"/>
      <x:c r="H35" s="76"/>
      <x:c r="I35" s="76"/>
      <x:c r="J35" s="76"/>
    </x:row>
    <x:row r="36" ht="28" customHeight="1">
      <x:c r="A36" s="78" t="str">
        <x:v>1. LAN i AIR: oba okresy umowy (12 i 24 miesiące); w scenariuszach przyjęto +5 zł/mies. za 12 miesięcy jako HIPOTEZĘ.</x:v>
      </x:c>
      <x:c r="B36" s="78"/>
      <x:c r="C36" s="78"/>
      <x:c r="D36" s="78"/>
      <x:c r="E36" s="78"/>
      <x:c r="F36" s="78"/>
      <x:c r="G36" s="78"/>
      <x:c r="H36" s="78"/>
      <x:c r="I36" s="78"/>
      <x:c r="J36" s="78"/>
    </x:row>
    <x:row r="37" ht="28" customHeight="1">
      <x:c r="A37" s="78" t="str">
        <x:v>2. FIBER: wyłącznie 24 miesiące; 12 miesięcy niedostępne — NIE generować ani nie pokazywać ceny rocznej.</x:v>
      </x:c>
      <x:c r="B37" s="78"/>
      <x:c r="C37" s="78"/>
      <x:c r="D37" s="78"/>
      <x:c r="E37" s="78"/>
      <x:c r="F37" s="78"/>
      <x:c r="G37" s="78"/>
      <x:c r="H37" s="78"/>
      <x:c r="I37" s="78"/>
      <x:c r="J37" s="78"/>
    </x:row>
    <x:row r="38" ht="28" customHeight="1">
      <x:c r="A38" s="78" t="str">
        <x:v>3. Wszystkie technologie: umowa bezterminowa = WYCENA INDYWIDUALNA; nie przypisuj stałej ceny.</x:v>
      </x:c>
      <x:c r="B38" s="78"/>
      <x:c r="C38" s="78"/>
      <x:c r="D38" s="78"/>
      <x:c r="E38" s="78"/>
      <x:c r="F38" s="78"/>
      <x:c r="G38" s="78"/>
      <x:c r="H38" s="78"/>
      <x:c r="I38" s="78"/>
      <x:c r="J38" s="78"/>
    </x:row>
    <x:row r="39" ht="28" customHeight="1">
      <x:c r="A39" s="78" t="str">
        <x:v>4. FIBER-600 i dodatki VIP nie są potwierdzoną ofertą — konieczne ustalenie możliwości technicznych i warunków.</x:v>
      </x:c>
      <x:c r="B39" s="78"/>
      <x:c r="C39" s="78"/>
      <x:c r="D39" s="78"/>
      <x:c r="E39" s="78"/>
      <x:c r="F39" s="78"/>
      <x:c r="G39" s="78"/>
      <x:c r="H39" s="78"/>
      <x:c r="I39" s="78"/>
      <x:c r="J39" s="78"/>
    </x:row>
    <x:row r="40" ht="28" customHeight="1">
      <x:c r="A40" s="78" t="str">
        <x:v>5. Kolumny 24/12 miesięcy to propozycje; STAN_2026 przedstawia obecne stawki i warunki.</x:v>
      </x:c>
      <x:c r="B40" s="78"/>
      <x:c r="C40" s="78"/>
      <x:c r="D40" s="78"/>
      <x:c r="E40" s="78"/>
      <x:c r="F40" s="78"/>
      <x:c r="G40" s="78"/>
      <x:c r="H40" s="78"/>
      <x:c r="I40" s="78"/>
      <x:c r="J40" s="78"/>
    </x:row>
    <x:row r="41" ht="28" customHeight="1">
      <x:c r="A41" s="78" t="str">
        <x:v>6. Źródło aktualnych danych: https://www.mad-net.pl/cennik.php oraz repozytorium MAD-NET (PLAN_DATA).</x:v>
      </x:c>
      <x:c r="B41" s="78"/>
      <x:c r="C41" s="78"/>
      <x:c r="D41" s="78"/>
      <x:c r="E41" s="78"/>
      <x:c r="F41" s="78"/>
      <x:c r="G41" s="78"/>
      <x:c r="H41" s="78"/>
      <x:c r="I41" s="78"/>
      <x:c r="J41" s="78"/>
    </x:row>
    <x:row r="42" ht="24" customHeight="1">
      <x:c r="A42" s="47"/>
      <x:c r="B42" s="47"/>
      <x:c r="C42" s="47"/>
      <x:c r="D42" s="47"/>
      <x:c r="E42" s="47"/>
      <x:c r="F42" s="47"/>
      <x:c r="G42" s="47"/>
      <x:c r="H42" s="47"/>
      <x:c r="I42" s="47"/>
      <x:c r="J42" s="47"/>
    </x:row>
  </x:sheetData>
  <x:mergeCells>
    <x:mergeCell ref="A1:J1"/>
    <x:mergeCell ref="A2:J2"/>
    <x:mergeCell ref="A4:J4"/>
    <x:mergeCell ref="A19:J19"/>
    <x:mergeCell ref="A35:J35"/>
    <x:mergeCell ref="A36:J36"/>
    <x:mergeCell ref="A37:J37"/>
    <x:mergeCell ref="A38:J38"/>
    <x:mergeCell ref="A39:J39"/>
    <x:mergeCell ref="A40:J40"/>
    <x:mergeCell ref="A41:J41"/>
  </x:mergeCells>
  <x:pageMargins left="0.7" right="0.7" top="0.75" bottom="0.75" header="0.3" footer="0.3"/>
</x:worksheet>
</file>